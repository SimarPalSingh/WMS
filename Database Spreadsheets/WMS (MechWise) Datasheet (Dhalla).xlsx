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8kz\Downloads\"/>
    </mc:Choice>
  </mc:AlternateContent>
  <xr:revisionPtr revIDLastSave="871" documentId="13_ncr:1_{EE74C548-8B8D-4BB0-8E6B-B09AD272F00C}" xr6:coauthVersionLast="47" xr6:coauthVersionMax="47" xr10:uidLastSave="{9B92A6DD-6355-4743-9389-BCE66C0222F8}"/>
  <bookViews>
    <workbookView xWindow="-108" yWindow="-108" windowWidth="23256" windowHeight="12576" activeTab="12" xr2:uid="{B88BF863-88A0-462C-8DAC-FA05B08AD847}"/>
  </bookViews>
  <sheets>
    <sheet name="🚗 Vehicle Profile" sheetId="1" r:id="rId1"/>
    <sheet name="🧰 Maintenance History" sheetId="2" r:id="rId2"/>
    <sheet name="Job Detail Samples" sheetId="13" r:id="rId3"/>
    <sheet name="📦 Parts Inventory Mgmt" sheetId="4" r:id="rId4"/>
    <sheet name="🔧 Mechanic &amp; Staff Mgmt" sheetId="7" r:id="rId5"/>
    <sheet name="🧾 Customer Invoicing" sheetId="8" r:id="rId6"/>
    <sheet name="🧾 Supplier Payments" sheetId="14" r:id="rId7"/>
    <sheet name="🧑‍💼 Supplier Contacts" sheetId="11" r:id="rId8"/>
    <sheet name="📊 Accounting Snapshot" sheetId="15" r:id="rId9"/>
    <sheet name="🚗 Booking &amp; Appt Schedule" sheetId="9" r:id="rId10"/>
    <sheet name="📊 Workshop Analytics &amp; KPIs" sheetId="12" r:id="rId11"/>
    <sheet name="🏢 Workshop Info Table" sheetId="5" r:id="rId12"/>
    <sheet name="Sheet1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5" l="1"/>
  <c r="L2" i="15" s="1"/>
  <c r="J2" i="8"/>
  <c r="G2" i="8"/>
  <c r="H2" i="8" s="1"/>
  <c r="G97" i="4"/>
  <c r="I97" i="4"/>
  <c r="H2" i="13"/>
</calcChain>
</file>

<file path=xl/sharedStrings.xml><?xml version="1.0" encoding="utf-8"?>
<sst xmlns="http://schemas.openxmlformats.org/spreadsheetml/2006/main" count="2616" uniqueCount="2317">
  <si>
    <t>Vehicle_ID</t>
  </si>
  <si>
    <t>Client_ID</t>
  </si>
  <si>
    <t>Client_Name</t>
  </si>
  <si>
    <t>Client_Phone</t>
  </si>
  <si>
    <t>Client_Email</t>
  </si>
  <si>
    <t>Client_Address</t>
  </si>
  <si>
    <t>Registration_No</t>
  </si>
  <si>
    <t>Vehicle_Make</t>
  </si>
  <si>
    <t>Vehicle_Model</t>
  </si>
  <si>
    <t>Vehicle_Year</t>
  </si>
  <si>
    <t>Vehicle_Color</t>
  </si>
  <si>
    <t>VIN</t>
  </si>
  <si>
    <t>State</t>
  </si>
  <si>
    <t>Fuel_Type</t>
  </si>
  <si>
    <t>Transmission</t>
  </si>
  <si>
    <t>Mileage_km</t>
  </si>
  <si>
    <t>Last_Service_Date</t>
  </si>
  <si>
    <t>Next_Service_Due</t>
  </si>
  <si>
    <t>Service_Notes</t>
  </si>
  <si>
    <t>Garage_Location</t>
  </si>
  <si>
    <t>VH-1</t>
  </si>
  <si>
    <t>CL-1</t>
  </si>
  <si>
    <t>Sarah Mitchell</t>
  </si>
  <si>
    <t>+61 412 345 678</t>
  </si>
  <si>
    <t>sarah.m@example.com</t>
  </si>
  <si>
    <t>50 Oceanview Rd, Manly, NSW 2010</t>
  </si>
  <si>
    <t>NSW-PL1</t>
  </si>
  <si>
    <t>Hyundai</t>
  </si>
  <si>
    <t>Tucson</t>
  </si>
  <si>
    <t>White</t>
  </si>
  <si>
    <t>KM8J33A42HU123456</t>
  </si>
  <si>
    <t>NSW</t>
  </si>
  <si>
    <t>Diesel</t>
  </si>
  <si>
    <t>Manual</t>
  </si>
  <si>
    <t>Monitor transmission performance.</t>
  </si>
  <si>
    <t>Bay 2, Workshop A</t>
  </si>
  <si>
    <t>VH-2</t>
  </si>
  <si>
    <t>CL-2</t>
  </si>
  <si>
    <t>Revo Kitchens Pty Ltd</t>
  </si>
  <si>
    <t>02REVO</t>
  </si>
  <si>
    <t>VH-3</t>
  </si>
  <si>
    <t>CL-3</t>
  </si>
  <si>
    <t>1JARA</t>
  </si>
  <si>
    <t>VH-4</t>
  </si>
  <si>
    <t>CL-4</t>
  </si>
  <si>
    <t>2JARA</t>
  </si>
  <si>
    <t>VH-5</t>
  </si>
  <si>
    <t>CL-5</t>
  </si>
  <si>
    <t>Rashmi</t>
  </si>
  <si>
    <t xml:space="preserve">0430117807 </t>
  </si>
  <si>
    <t>31BAPU</t>
  </si>
  <si>
    <t>VH-6</t>
  </si>
  <si>
    <t>CL-6</t>
  </si>
  <si>
    <t>Gurjant Singh</t>
  </si>
  <si>
    <t>0420886262</t>
  </si>
  <si>
    <t>62SABB</t>
  </si>
  <si>
    <t>VH-7</t>
  </si>
  <si>
    <t>CL-7</t>
  </si>
  <si>
    <t>Peter</t>
  </si>
  <si>
    <t>0435791593</t>
  </si>
  <si>
    <t>AFT84D</t>
  </si>
  <si>
    <t>VH-8</t>
  </si>
  <si>
    <t>CL-8</t>
  </si>
  <si>
    <t>AM24QJ</t>
  </si>
  <si>
    <t>VH-9</t>
  </si>
  <si>
    <t>CL-9</t>
  </si>
  <si>
    <t>AU47AZ</t>
  </si>
  <si>
    <t>VH-10</t>
  </si>
  <si>
    <t>CL-10</t>
  </si>
  <si>
    <t>Kuku</t>
  </si>
  <si>
    <t>AV31XS</t>
  </si>
  <si>
    <t>VH-11</t>
  </si>
  <si>
    <t>CL-11</t>
  </si>
  <si>
    <t>AWL96L</t>
  </si>
  <si>
    <t>VH-12</t>
  </si>
  <si>
    <t>CL-12</t>
  </si>
  <si>
    <t>Ashu</t>
  </si>
  <si>
    <t>AXK70C</t>
  </si>
  <si>
    <t>VH-13</t>
  </si>
  <si>
    <t>CL-13</t>
  </si>
  <si>
    <t>Dhaval Patel</t>
  </si>
  <si>
    <t>AZS67B</t>
  </si>
  <si>
    <t>VH-14</t>
  </si>
  <si>
    <t>CL-14</t>
  </si>
  <si>
    <t>Romi</t>
  </si>
  <si>
    <t>BADWAL</t>
  </si>
  <si>
    <t>VH-15</t>
  </si>
  <si>
    <t>CL-15</t>
  </si>
  <si>
    <t>Ravinder Kaur</t>
  </si>
  <si>
    <t>BGX18S</t>
  </si>
  <si>
    <t>VH-16</t>
  </si>
  <si>
    <t>CL-16</t>
  </si>
  <si>
    <t>Khivaharjeet Singh</t>
  </si>
  <si>
    <t>BKP81R</t>
  </si>
  <si>
    <t>VH-17</t>
  </si>
  <si>
    <t>CL-17</t>
  </si>
  <si>
    <t>BPH90U</t>
  </si>
  <si>
    <t>VH-18</t>
  </si>
  <si>
    <t>CL-18</t>
  </si>
  <si>
    <t>BTQ31S</t>
  </si>
  <si>
    <t>VH-19</t>
  </si>
  <si>
    <t>CL-19</t>
  </si>
  <si>
    <t>S Swiss Grop Pty Ltd</t>
  </si>
  <si>
    <t>BVZ39F</t>
  </si>
  <si>
    <t>VH-20</t>
  </si>
  <si>
    <t>CL-20</t>
  </si>
  <si>
    <t>Kuku Lund</t>
  </si>
  <si>
    <t>BZA92U</t>
  </si>
  <si>
    <t>VH-21</t>
  </si>
  <si>
    <t>CL-21</t>
  </si>
  <si>
    <t>Salah</t>
  </si>
  <si>
    <t>0415995554</t>
  </si>
  <si>
    <t>BZC38W</t>
  </si>
  <si>
    <t>VH-22</t>
  </si>
  <si>
    <t>CL-22</t>
  </si>
  <si>
    <t>CA88QH</t>
  </si>
  <si>
    <t>VH-23</t>
  </si>
  <si>
    <t>CL-23</t>
  </si>
  <si>
    <t>Devinder Chadda</t>
  </si>
  <si>
    <t>CAI84Q</t>
  </si>
  <si>
    <t>VH-24</t>
  </si>
  <si>
    <t>CL-24</t>
  </si>
  <si>
    <t>CH37HW</t>
  </si>
  <si>
    <t>VH-25</t>
  </si>
  <si>
    <t>CL-25</t>
  </si>
  <si>
    <t>CIQ01S</t>
  </si>
  <si>
    <t>VH-26</t>
  </si>
  <si>
    <t>CL-26</t>
  </si>
  <si>
    <t>Manish Patel</t>
  </si>
  <si>
    <t>CMC20Z</t>
  </si>
  <si>
    <t>VH-27</t>
  </si>
  <si>
    <t>CL-27</t>
  </si>
  <si>
    <t>Alison Ruth Tunstell</t>
  </si>
  <si>
    <t>COD63T</t>
  </si>
  <si>
    <t>VH-28</t>
  </si>
  <si>
    <t>CL-28</t>
  </si>
  <si>
    <t>CQ45SJ</t>
  </si>
  <si>
    <t>VH-29</t>
  </si>
  <si>
    <t>CL-29</t>
  </si>
  <si>
    <t>Alex Lexis</t>
  </si>
  <si>
    <t>0430352868</t>
  </si>
  <si>
    <t>CR12YY</t>
  </si>
  <si>
    <t>VH-30</t>
  </si>
  <si>
    <t>CL-30</t>
  </si>
  <si>
    <t>Vinoras</t>
  </si>
  <si>
    <t>0468564298</t>
  </si>
  <si>
    <t>CRN01N</t>
  </si>
  <si>
    <t>VH-31</t>
  </si>
  <si>
    <t>CL-31</t>
  </si>
  <si>
    <t>CRU47X</t>
  </si>
  <si>
    <t>VH-32</t>
  </si>
  <si>
    <t>CL-32</t>
  </si>
  <si>
    <t>Jagjit Singh</t>
  </si>
  <si>
    <t>DC32VJ</t>
  </si>
  <si>
    <t>VH-33</t>
  </si>
  <si>
    <t>CL-33</t>
  </si>
  <si>
    <t>Harkesh</t>
  </si>
  <si>
    <t>0452183682</t>
  </si>
  <si>
    <t>DC83CP</t>
  </si>
  <si>
    <t>VH-34</t>
  </si>
  <si>
    <t>CL-34</t>
  </si>
  <si>
    <t>Youshay</t>
  </si>
  <si>
    <t>0490901072</t>
  </si>
  <si>
    <t>DCI64U</t>
  </si>
  <si>
    <t>VH-35</t>
  </si>
  <si>
    <t>CL-35</t>
  </si>
  <si>
    <t>David Crocker</t>
  </si>
  <si>
    <t>0477289241</t>
  </si>
  <si>
    <t>DDP61J</t>
  </si>
  <si>
    <t>VH-36</t>
  </si>
  <si>
    <t>CL-36</t>
  </si>
  <si>
    <t>Kenny</t>
  </si>
  <si>
    <t>DE40RK</t>
  </si>
  <si>
    <t>VH-37</t>
  </si>
  <si>
    <t>CL-37</t>
  </si>
  <si>
    <t>Harkesh Singh</t>
  </si>
  <si>
    <t>DF07YJ</t>
  </si>
  <si>
    <t>VH-38</t>
  </si>
  <si>
    <t>CL-38</t>
  </si>
  <si>
    <t>Gurjit Singh</t>
  </si>
  <si>
    <t>0452101859</t>
  </si>
  <si>
    <t>DFG45Z</t>
  </si>
  <si>
    <t>VH-39</t>
  </si>
  <si>
    <t>CL-39</t>
  </si>
  <si>
    <t>Gurpreet Singh</t>
  </si>
  <si>
    <t>DG10ZS</t>
  </si>
  <si>
    <t>VH-40</t>
  </si>
  <si>
    <t>CL-40</t>
  </si>
  <si>
    <t>Jaspind Sir</t>
  </si>
  <si>
    <t>DJY56A</t>
  </si>
  <si>
    <t>VH-41</t>
  </si>
  <si>
    <t>CL-41</t>
  </si>
  <si>
    <t>Robert Gay</t>
  </si>
  <si>
    <t>DK67FC</t>
  </si>
  <si>
    <t>VH-42</t>
  </si>
  <si>
    <t>CL-42</t>
  </si>
  <si>
    <t>Shababdeep</t>
  </si>
  <si>
    <t>DKF20C</t>
  </si>
  <si>
    <t>VH-43</t>
  </si>
  <si>
    <t>CL-43</t>
  </si>
  <si>
    <t>DKY22C</t>
  </si>
  <si>
    <t>VH-44</t>
  </si>
  <si>
    <t>CL-44</t>
  </si>
  <si>
    <t>Tirath Saini</t>
  </si>
  <si>
    <t>0474892439</t>
  </si>
  <si>
    <t>DMC67A</t>
  </si>
  <si>
    <t>VH-45</t>
  </si>
  <si>
    <t>CL-45</t>
  </si>
  <si>
    <t>Dhillon</t>
  </si>
  <si>
    <t>DNE86P</t>
  </si>
  <si>
    <t>VH-46</t>
  </si>
  <si>
    <t>CL-46</t>
  </si>
  <si>
    <t>DSR40A</t>
  </si>
  <si>
    <t>VH-47</t>
  </si>
  <si>
    <t>CL-47</t>
  </si>
  <si>
    <t>DWA27R</t>
  </si>
  <si>
    <t>VH-48</t>
  </si>
  <si>
    <t>CL-48</t>
  </si>
  <si>
    <t>Sunny Paji</t>
  </si>
  <si>
    <t>DWS28H</t>
  </si>
  <si>
    <t>VH-49</t>
  </si>
  <si>
    <t>CL-49</t>
  </si>
  <si>
    <t>EAW08Y</t>
  </si>
  <si>
    <t>VH-50</t>
  </si>
  <si>
    <t>CL-50</t>
  </si>
  <si>
    <t>Niamet Singh</t>
  </si>
  <si>
    <t>0449961307</t>
  </si>
  <si>
    <t>EBS41L</t>
  </si>
  <si>
    <t>VH-51</t>
  </si>
  <si>
    <t>CL-51</t>
  </si>
  <si>
    <t>Gurman</t>
  </si>
  <si>
    <t>EUS17U</t>
  </si>
  <si>
    <t>VH-52</t>
  </si>
  <si>
    <t>CL-52</t>
  </si>
  <si>
    <t>Raji Foods</t>
  </si>
  <si>
    <t xml:space="preserve">0478669226 </t>
  </si>
  <si>
    <t>EVM74W</t>
  </si>
  <si>
    <t>VH-53</t>
  </si>
  <si>
    <t>CL-53</t>
  </si>
  <si>
    <t>Banti</t>
  </si>
  <si>
    <t>EWM90G</t>
  </si>
  <si>
    <t>VH-54</t>
  </si>
  <si>
    <t>CL-54</t>
  </si>
  <si>
    <t>Akay Enterprises Aus Pty Ltd</t>
  </si>
  <si>
    <t>EXI33Q</t>
  </si>
  <si>
    <t>VH-55</t>
  </si>
  <si>
    <t>CL-55</t>
  </si>
  <si>
    <t>Vaun Sharma</t>
  </si>
  <si>
    <t>FRI23B</t>
  </si>
  <si>
    <t>VH-56</t>
  </si>
  <si>
    <t>CL-56</t>
  </si>
  <si>
    <t>Gurpeet Singh</t>
  </si>
  <si>
    <t>GJAAT</t>
  </si>
  <si>
    <t>VH-57</t>
  </si>
  <si>
    <t>CL-57</t>
  </si>
  <si>
    <t>Jagdish Toor</t>
  </si>
  <si>
    <t xml:space="preserve">JARA </t>
  </si>
  <si>
    <t>VH-58</t>
  </si>
  <si>
    <t>CL-58</t>
  </si>
  <si>
    <t>Saksham Singh</t>
  </si>
  <si>
    <t>0490047287</t>
  </si>
  <si>
    <t>LMTD</t>
  </si>
  <si>
    <t>VH-59</t>
  </si>
  <si>
    <t>CL-59</t>
  </si>
  <si>
    <t>Gagandeep Gill</t>
  </si>
  <si>
    <t>MNV33R</t>
  </si>
  <si>
    <t>VH-60</t>
  </si>
  <si>
    <t>CL-60</t>
  </si>
  <si>
    <t>VDE5I</t>
  </si>
  <si>
    <t>VH-61</t>
  </si>
  <si>
    <t>CL-61</t>
  </si>
  <si>
    <t>YBC23E</t>
  </si>
  <si>
    <t>VH-62</t>
  </si>
  <si>
    <t>CL-62</t>
  </si>
  <si>
    <t>Dinesh</t>
  </si>
  <si>
    <t>0421206600</t>
  </si>
  <si>
    <t>YDR79E</t>
  </si>
  <si>
    <t>VH-63</t>
  </si>
  <si>
    <t>CL-63</t>
  </si>
  <si>
    <t>YGB08E</t>
  </si>
  <si>
    <t>VH-64</t>
  </si>
  <si>
    <t>CL-64</t>
  </si>
  <si>
    <t>Jassi</t>
  </si>
  <si>
    <t>YIH01J</t>
  </si>
  <si>
    <t>VH-65</t>
  </si>
  <si>
    <t>CL-65</t>
  </si>
  <si>
    <t>Puneet Aulakh</t>
  </si>
  <si>
    <t>0425205098</t>
  </si>
  <si>
    <t>CXM89Z</t>
  </si>
  <si>
    <t>VH-66</t>
  </si>
  <si>
    <t>CL-66</t>
  </si>
  <si>
    <t>Ben</t>
  </si>
  <si>
    <t>0422669633</t>
  </si>
  <si>
    <t>YID25K</t>
  </si>
  <si>
    <t>VH-67</t>
  </si>
  <si>
    <t>CL-67</t>
  </si>
  <si>
    <t>Vishal</t>
  </si>
  <si>
    <t>0470067629</t>
  </si>
  <si>
    <t>CWM39G</t>
  </si>
  <si>
    <t>VH-68</t>
  </si>
  <si>
    <t>CL-68</t>
  </si>
  <si>
    <t>Avikal / Jyoti</t>
  </si>
  <si>
    <t>0426267970</t>
  </si>
  <si>
    <t>YDK42S</t>
  </si>
  <si>
    <t>VH-69</t>
  </si>
  <si>
    <t>CL-69</t>
  </si>
  <si>
    <t>Amrinder</t>
  </si>
  <si>
    <t>0452075751</t>
  </si>
  <si>
    <t>CC31UH</t>
  </si>
  <si>
    <t>VH-70</t>
  </si>
  <si>
    <t>CL-70</t>
  </si>
  <si>
    <t>Bhavesh</t>
  </si>
  <si>
    <t>0455911880</t>
  </si>
  <si>
    <t>DQF85E</t>
  </si>
  <si>
    <t>VH-71</t>
  </si>
  <si>
    <t>CL-71</t>
  </si>
  <si>
    <t>Simon</t>
  </si>
  <si>
    <t>0466286977</t>
  </si>
  <si>
    <t>DQB61Y</t>
  </si>
  <si>
    <t>VH-72</t>
  </si>
  <si>
    <t>CL-72</t>
  </si>
  <si>
    <t>Hardeep</t>
  </si>
  <si>
    <t>0432060254</t>
  </si>
  <si>
    <t>EV249Z</t>
  </si>
  <si>
    <t>VH-73</t>
  </si>
  <si>
    <t>CL-73</t>
  </si>
  <si>
    <t>Heelam Kaur</t>
  </si>
  <si>
    <t>0493600261</t>
  </si>
  <si>
    <t>DPK15X</t>
  </si>
  <si>
    <t>VH-74</t>
  </si>
  <si>
    <t>CL-74</t>
  </si>
  <si>
    <t>Andres Acosta</t>
  </si>
  <si>
    <t>0426578169</t>
  </si>
  <si>
    <t>ASB31H</t>
  </si>
  <si>
    <t>VH-75</t>
  </si>
  <si>
    <t>CL-75</t>
  </si>
  <si>
    <t>Karandeep Dosaujh</t>
  </si>
  <si>
    <t>0420431986</t>
  </si>
  <si>
    <t>FER11U</t>
  </si>
  <si>
    <t>VH-76</t>
  </si>
  <si>
    <t>CL-76</t>
  </si>
  <si>
    <t>Bhanv</t>
  </si>
  <si>
    <t>0452544268</t>
  </si>
  <si>
    <t>DF56LR</t>
  </si>
  <si>
    <t>VH-77</t>
  </si>
  <si>
    <t>CL-77</t>
  </si>
  <si>
    <t>Bautista</t>
  </si>
  <si>
    <t>0420595247</t>
  </si>
  <si>
    <t>CA41SL</t>
  </si>
  <si>
    <t>VH-78</t>
  </si>
  <si>
    <t>CL-78</t>
  </si>
  <si>
    <t>Varun</t>
  </si>
  <si>
    <t>0430097345</t>
  </si>
  <si>
    <t>FGD25U</t>
  </si>
  <si>
    <t>VH-79</t>
  </si>
  <si>
    <t>CL-79</t>
  </si>
  <si>
    <t>Jasonjason Neighbour</t>
  </si>
  <si>
    <t>0421927075</t>
  </si>
  <si>
    <t>BQ00HQ</t>
  </si>
  <si>
    <t>VH-80</t>
  </si>
  <si>
    <t>CL-80</t>
  </si>
  <si>
    <t>Dheyaa Al-Zuhair</t>
  </si>
  <si>
    <t>0411306873</t>
  </si>
  <si>
    <t>FRG73D</t>
  </si>
  <si>
    <t>VH-81</t>
  </si>
  <si>
    <t>CL-81</t>
  </si>
  <si>
    <t>Ranjeet</t>
  </si>
  <si>
    <t>0420277968</t>
  </si>
  <si>
    <t>81S0N1</t>
  </si>
  <si>
    <t>VH-82</t>
  </si>
  <si>
    <t>CL-82</t>
  </si>
  <si>
    <t>Ajit Singh</t>
  </si>
  <si>
    <t>0413318422</t>
  </si>
  <si>
    <t>CMA91A</t>
  </si>
  <si>
    <t>VH-83</t>
  </si>
  <si>
    <t>CL-83</t>
  </si>
  <si>
    <t>Manav Patel</t>
  </si>
  <si>
    <t>0491186839</t>
  </si>
  <si>
    <t>CMJ41F</t>
  </si>
  <si>
    <t>VH-84</t>
  </si>
  <si>
    <t>CL-84</t>
  </si>
  <si>
    <t>Jagdish</t>
  </si>
  <si>
    <t>0431555940</t>
  </si>
  <si>
    <t>EAC27G</t>
  </si>
  <si>
    <t>VH-85</t>
  </si>
  <si>
    <t>CL-85</t>
  </si>
  <si>
    <t>Navdeep</t>
  </si>
  <si>
    <t>0430436440</t>
  </si>
  <si>
    <t>YRT66F</t>
  </si>
  <si>
    <t>VH-86</t>
  </si>
  <si>
    <t>CL-86</t>
  </si>
  <si>
    <t>Shimpan</t>
  </si>
  <si>
    <t>0476223995</t>
  </si>
  <si>
    <t>YIL97Q</t>
  </si>
  <si>
    <t>VH-87</t>
  </si>
  <si>
    <t>CL-87</t>
  </si>
  <si>
    <t>Megan</t>
  </si>
  <si>
    <t>0423332403</t>
  </si>
  <si>
    <t>YBK90B</t>
  </si>
  <si>
    <t>VH-88</t>
  </si>
  <si>
    <t>CL-88</t>
  </si>
  <si>
    <t>Pawan</t>
  </si>
  <si>
    <t>0424756470</t>
  </si>
  <si>
    <t>FNC14M</t>
  </si>
  <si>
    <t>VH-89</t>
  </si>
  <si>
    <t>CL-89</t>
  </si>
  <si>
    <t>Savrav</t>
  </si>
  <si>
    <t>0430201524</t>
  </si>
  <si>
    <t>DAK59B</t>
  </si>
  <si>
    <t>VH-90</t>
  </si>
  <si>
    <t>CL-90</t>
  </si>
  <si>
    <t>0469700288</t>
  </si>
  <si>
    <t>DN24GZ</t>
  </si>
  <si>
    <t>VH-91</t>
  </si>
  <si>
    <t>CL-91</t>
  </si>
  <si>
    <t>Parthana</t>
  </si>
  <si>
    <t>0449166469</t>
  </si>
  <si>
    <t>DXO96H</t>
  </si>
  <si>
    <t>VH-92</t>
  </si>
  <si>
    <t>CL-92</t>
  </si>
  <si>
    <t>Glen Colingle</t>
  </si>
  <si>
    <t>0407242249</t>
  </si>
  <si>
    <t>DZQ93A</t>
  </si>
  <si>
    <t>VH-93</t>
  </si>
  <si>
    <t>CL-93</t>
  </si>
  <si>
    <t>LIM011</t>
  </si>
  <si>
    <t>VH-94</t>
  </si>
  <si>
    <t>CL-94</t>
  </si>
  <si>
    <t>Ali</t>
  </si>
  <si>
    <t>0420462729</t>
  </si>
  <si>
    <t>CC18AH</t>
  </si>
  <si>
    <t>VH-95</t>
  </si>
  <si>
    <t>CL-95</t>
  </si>
  <si>
    <t>Satnam Randava</t>
  </si>
  <si>
    <t>0433790009</t>
  </si>
  <si>
    <t>YHU72U</t>
  </si>
  <si>
    <t>VH-96</t>
  </si>
  <si>
    <t>CL-96</t>
  </si>
  <si>
    <t>Samraj Sekkar</t>
  </si>
  <si>
    <t>0404555604</t>
  </si>
  <si>
    <t>385HM8</t>
  </si>
  <si>
    <t>VH-97</t>
  </si>
  <si>
    <t>CL-97</t>
  </si>
  <si>
    <t>Detine Moyi</t>
  </si>
  <si>
    <t>0404027829</t>
  </si>
  <si>
    <t>FFS27U</t>
  </si>
  <si>
    <t>VH-98</t>
  </si>
  <si>
    <t>CL-98</t>
  </si>
  <si>
    <t>Satnam Randhawa</t>
  </si>
  <si>
    <t>CWQ88E</t>
  </si>
  <si>
    <t>VH-99</t>
  </si>
  <si>
    <t>CL-99</t>
  </si>
  <si>
    <t>Jasmal</t>
  </si>
  <si>
    <t>0469543684</t>
  </si>
  <si>
    <t>YGW16A</t>
  </si>
  <si>
    <t>VH-100</t>
  </si>
  <si>
    <t>CL-100</t>
  </si>
  <si>
    <t>Manjit Singh Saini</t>
  </si>
  <si>
    <t>0411204553</t>
  </si>
  <si>
    <t>SAN112</t>
  </si>
  <si>
    <t>VH-101</t>
  </si>
  <si>
    <t>CL-101</t>
  </si>
  <si>
    <t>Gursharan Singh Sodha</t>
  </si>
  <si>
    <t>0410038382</t>
  </si>
  <si>
    <t>DM07HN</t>
  </si>
  <si>
    <t>VH-102</t>
  </si>
  <si>
    <t>CL-102</t>
  </si>
  <si>
    <t>Gino Carvo</t>
  </si>
  <si>
    <t>0423064090</t>
  </si>
  <si>
    <t>EXM27P</t>
  </si>
  <si>
    <t>VH-103</t>
  </si>
  <si>
    <t>CL-103</t>
  </si>
  <si>
    <t>Roshan</t>
  </si>
  <si>
    <t>0433431594</t>
  </si>
  <si>
    <t>CQ82BS</t>
  </si>
  <si>
    <t>VH-104</t>
  </si>
  <si>
    <t>CL-104</t>
  </si>
  <si>
    <t>Vicky</t>
  </si>
  <si>
    <t>0426456813</t>
  </si>
  <si>
    <t>BF23BQ</t>
  </si>
  <si>
    <t>VH-105</t>
  </si>
  <si>
    <t>CL-105</t>
  </si>
  <si>
    <t>Kaushal</t>
  </si>
  <si>
    <t>0434289197</t>
  </si>
  <si>
    <t>YDL32W</t>
  </si>
  <si>
    <t>VH-106</t>
  </si>
  <si>
    <t>CL-106</t>
  </si>
  <si>
    <t>Bilal</t>
  </si>
  <si>
    <t>0435590050</t>
  </si>
  <si>
    <t>FEH63H</t>
  </si>
  <si>
    <t>VH-107</t>
  </si>
  <si>
    <t>CL-107</t>
  </si>
  <si>
    <t>Jaskirat</t>
  </si>
  <si>
    <t>DLZ72X</t>
  </si>
  <si>
    <t>VH-108</t>
  </si>
  <si>
    <t>CL-108</t>
  </si>
  <si>
    <t>Saad</t>
  </si>
  <si>
    <t>0421981706</t>
  </si>
  <si>
    <t>CZ26JA</t>
  </si>
  <si>
    <t>VH-109</t>
  </si>
  <si>
    <t>CL-109</t>
  </si>
  <si>
    <t>Roak Vithol</t>
  </si>
  <si>
    <t>04690813555</t>
  </si>
  <si>
    <t>BZ85WK</t>
  </si>
  <si>
    <t>VH-110</t>
  </si>
  <si>
    <t>CL-110</t>
  </si>
  <si>
    <t>0432711064</t>
  </si>
  <si>
    <t>YQB18M</t>
  </si>
  <si>
    <t>VH-111</t>
  </si>
  <si>
    <t>CL-111</t>
  </si>
  <si>
    <t>Ameer</t>
  </si>
  <si>
    <t>DZZ72X</t>
  </si>
  <si>
    <t>VH-112</t>
  </si>
  <si>
    <t>CL-112</t>
  </si>
  <si>
    <t>0411352773</t>
  </si>
  <si>
    <t>CQF15M</t>
  </si>
  <si>
    <t>VH-113</t>
  </si>
  <si>
    <t>CL-113</t>
  </si>
  <si>
    <t>Shibu</t>
  </si>
  <si>
    <t>0421394127</t>
  </si>
  <si>
    <t>BSV56E</t>
  </si>
  <si>
    <t>VH-114</t>
  </si>
  <si>
    <t>CL-114</t>
  </si>
  <si>
    <t>Gurvinder</t>
  </si>
  <si>
    <t>0468460418</t>
  </si>
  <si>
    <t>CW87KP</t>
  </si>
  <si>
    <t>VH-115</t>
  </si>
  <si>
    <t>CL-115</t>
  </si>
  <si>
    <t>Megan Mckenzie</t>
  </si>
  <si>
    <t>0466684505</t>
  </si>
  <si>
    <t>YKX00N</t>
  </si>
  <si>
    <t>VH-116</t>
  </si>
  <si>
    <t>CL-116</t>
  </si>
  <si>
    <t>AY81BW</t>
  </si>
  <si>
    <t>VH-117</t>
  </si>
  <si>
    <t>CL-117</t>
  </si>
  <si>
    <t>Parminder Singh</t>
  </si>
  <si>
    <t>0410568473</t>
  </si>
  <si>
    <t>CSO47B</t>
  </si>
  <si>
    <t>VH-118</t>
  </si>
  <si>
    <t>CL-118</t>
  </si>
  <si>
    <t>Anshul</t>
  </si>
  <si>
    <t>0410402707</t>
  </si>
  <si>
    <t>BTB71U</t>
  </si>
  <si>
    <t>VH-119</t>
  </si>
  <si>
    <t>CL-119</t>
  </si>
  <si>
    <t>Harry</t>
  </si>
  <si>
    <t>0469303014</t>
  </si>
  <si>
    <t>ECJ40S</t>
  </si>
  <si>
    <t>VH-120</t>
  </si>
  <si>
    <t>CL-120</t>
  </si>
  <si>
    <t>Sela Chhor</t>
  </si>
  <si>
    <t>0438412231</t>
  </si>
  <si>
    <t>EJN03M</t>
  </si>
  <si>
    <t>VH-121</t>
  </si>
  <si>
    <t>CL-121</t>
  </si>
  <si>
    <t>Harman</t>
  </si>
  <si>
    <t>0468484633</t>
  </si>
  <si>
    <t>DA71GE</t>
  </si>
  <si>
    <t>VH-122</t>
  </si>
  <si>
    <t>CL-122</t>
  </si>
  <si>
    <t>Yadav</t>
  </si>
  <si>
    <t>0466910547</t>
  </si>
  <si>
    <t>BTM84T</t>
  </si>
  <si>
    <t>VH-123</t>
  </si>
  <si>
    <t>CL-123</t>
  </si>
  <si>
    <t>Ryan</t>
  </si>
  <si>
    <t>0402449352</t>
  </si>
  <si>
    <t>CH60BD</t>
  </si>
  <si>
    <t>VH-124</t>
  </si>
  <si>
    <t>CL-124</t>
  </si>
  <si>
    <t>Tushar</t>
  </si>
  <si>
    <t>0452664919</t>
  </si>
  <si>
    <t>ELQ85Z</t>
  </si>
  <si>
    <t>VH-125</t>
  </si>
  <si>
    <t>CL-125</t>
  </si>
  <si>
    <t>Fakhar</t>
  </si>
  <si>
    <t>0434054136</t>
  </si>
  <si>
    <t>ASP72Q</t>
  </si>
  <si>
    <t>VH-126</t>
  </si>
  <si>
    <t>CL-126</t>
  </si>
  <si>
    <t>Surinder Pal Singh Sp</t>
  </si>
  <si>
    <t>0412113179</t>
  </si>
  <si>
    <t>BAV27C</t>
  </si>
  <si>
    <t>VH-127</t>
  </si>
  <si>
    <t>CL-127</t>
  </si>
  <si>
    <t>Deepak</t>
  </si>
  <si>
    <t>0421450570</t>
  </si>
  <si>
    <t>FHC17K</t>
  </si>
  <si>
    <t>VH-128</t>
  </si>
  <si>
    <t>CL-128</t>
  </si>
  <si>
    <t>Rav</t>
  </si>
  <si>
    <t>0424588785</t>
  </si>
  <si>
    <t>CJA71Y</t>
  </si>
  <si>
    <t>VH-129</t>
  </si>
  <si>
    <t>CL-129</t>
  </si>
  <si>
    <t>Shoba</t>
  </si>
  <si>
    <t>0451783436</t>
  </si>
  <si>
    <t>DH96JO</t>
  </si>
  <si>
    <t>VH-130</t>
  </si>
  <si>
    <t>CL-130</t>
  </si>
  <si>
    <t>Davinder Sandhu</t>
  </si>
  <si>
    <t>EBQ05Y</t>
  </si>
  <si>
    <t>VH-131</t>
  </si>
  <si>
    <t>CL-131</t>
  </si>
  <si>
    <t>Harris</t>
  </si>
  <si>
    <t>0450314845</t>
  </si>
  <si>
    <t>EJO38Q</t>
  </si>
  <si>
    <t>VH-132</t>
  </si>
  <si>
    <t>CL-132</t>
  </si>
  <si>
    <t>Raj</t>
  </si>
  <si>
    <t>0413782193</t>
  </si>
  <si>
    <t>YDZ23B</t>
  </si>
  <si>
    <t>VH-133</t>
  </si>
  <si>
    <t>CL-133</t>
  </si>
  <si>
    <t>Fibresol Pty Ltd</t>
  </si>
  <si>
    <t>CQ50PZ</t>
  </si>
  <si>
    <t>VH-134</t>
  </si>
  <si>
    <t>CL-134</t>
  </si>
  <si>
    <t>Dickson</t>
  </si>
  <si>
    <t>0431792666</t>
  </si>
  <si>
    <t>CPQ30G</t>
  </si>
  <si>
    <t>VH-135</t>
  </si>
  <si>
    <t>CL-135</t>
  </si>
  <si>
    <t>Akshar Driving School</t>
  </si>
  <si>
    <t>0435990792</t>
  </si>
  <si>
    <t>DO60PX</t>
  </si>
  <si>
    <t>VH-136</t>
  </si>
  <si>
    <t>CL-136</t>
  </si>
  <si>
    <t>Ezekiel</t>
  </si>
  <si>
    <t>0412719667</t>
  </si>
  <si>
    <t>DHT71L</t>
  </si>
  <si>
    <t>VH-137</t>
  </si>
  <si>
    <t>CL-137</t>
  </si>
  <si>
    <t>Susanne</t>
  </si>
  <si>
    <t>0410388133</t>
  </si>
  <si>
    <t>DML89W</t>
  </si>
  <si>
    <t>VH-138</t>
  </si>
  <si>
    <t>CL-138</t>
  </si>
  <si>
    <t>Karamjeet Singh</t>
  </si>
  <si>
    <t>0406865701</t>
  </si>
  <si>
    <t>CR86VS</t>
  </si>
  <si>
    <t>VH-139</t>
  </si>
  <si>
    <t>CL-139</t>
  </si>
  <si>
    <t>Gursharan</t>
  </si>
  <si>
    <t>BPL07B</t>
  </si>
  <si>
    <t>VH-140</t>
  </si>
  <si>
    <t>CL-140</t>
  </si>
  <si>
    <t>Guru</t>
  </si>
  <si>
    <t>0434829533</t>
  </si>
  <si>
    <t>DLX68R</t>
  </si>
  <si>
    <t>VH-141</t>
  </si>
  <si>
    <t>CL-141</t>
  </si>
  <si>
    <t>Mandeep Singh</t>
  </si>
  <si>
    <t>0434286678</t>
  </si>
  <si>
    <t>HRL33N</t>
  </si>
  <si>
    <t>VH-142</t>
  </si>
  <si>
    <t>CL-142</t>
  </si>
  <si>
    <t>Bharat Arora</t>
  </si>
  <si>
    <t>0452676655</t>
  </si>
  <si>
    <t>FOG97J</t>
  </si>
  <si>
    <t>VH-143</t>
  </si>
  <si>
    <t>CL-143</t>
  </si>
  <si>
    <t>Kim</t>
  </si>
  <si>
    <t>0410609385</t>
  </si>
  <si>
    <t>KIM78T</t>
  </si>
  <si>
    <t>VH-144</t>
  </si>
  <si>
    <t>CL-144</t>
  </si>
  <si>
    <t>Leanne McDonald</t>
  </si>
  <si>
    <t>0474590777</t>
  </si>
  <si>
    <t>EZZ62N</t>
  </si>
  <si>
    <t>VH-145</t>
  </si>
  <si>
    <t>CL-145</t>
  </si>
  <si>
    <t>Lfwani</t>
  </si>
  <si>
    <t>0482656497</t>
  </si>
  <si>
    <t>DI67VH</t>
  </si>
  <si>
    <t>VH-146</t>
  </si>
  <si>
    <t>CL-146</t>
  </si>
  <si>
    <t>0433993814</t>
  </si>
  <si>
    <t>SINGH9</t>
  </si>
  <si>
    <t>VH-147</t>
  </si>
  <si>
    <t>CL-147</t>
  </si>
  <si>
    <t>Touseef</t>
  </si>
  <si>
    <t>0470644572</t>
  </si>
  <si>
    <t>DLY83S</t>
  </si>
  <si>
    <t>VH-148</t>
  </si>
  <si>
    <t>CL-148</t>
  </si>
  <si>
    <t>Romy</t>
  </si>
  <si>
    <t>0401280884</t>
  </si>
  <si>
    <t>FMW75H</t>
  </si>
  <si>
    <t>VH-149</t>
  </si>
  <si>
    <t>CL-149</t>
  </si>
  <si>
    <t>Jagmohan Singh</t>
  </si>
  <si>
    <t>0413553851</t>
  </si>
  <si>
    <t>DBB70H</t>
  </si>
  <si>
    <t>VH-150</t>
  </si>
  <si>
    <t>CL-150</t>
  </si>
  <si>
    <t>Ekta</t>
  </si>
  <si>
    <t>0432645184</t>
  </si>
  <si>
    <t>EHX70X</t>
  </si>
  <si>
    <t>VH-151</t>
  </si>
  <si>
    <t>CL-151</t>
  </si>
  <si>
    <t>Logan Wildman</t>
  </si>
  <si>
    <t>0447673332</t>
  </si>
  <si>
    <t>03WLDY</t>
  </si>
  <si>
    <t>VH-152</t>
  </si>
  <si>
    <t>CL-152</t>
  </si>
  <si>
    <t>Saugha</t>
  </si>
  <si>
    <t>0437641033</t>
  </si>
  <si>
    <t>DQH54S</t>
  </si>
  <si>
    <t>VH-153</t>
  </si>
  <si>
    <t>CL-153</t>
  </si>
  <si>
    <t>Steve Olsson</t>
  </si>
  <si>
    <t>0424393396</t>
  </si>
  <si>
    <t>BK25EP</t>
  </si>
  <si>
    <t>VH-154</t>
  </si>
  <si>
    <t>CL-154</t>
  </si>
  <si>
    <t>Patal</t>
  </si>
  <si>
    <t>0435234171</t>
  </si>
  <si>
    <t>DI55VF</t>
  </si>
  <si>
    <t>VH-155</t>
  </si>
  <si>
    <t>CL-155</t>
  </si>
  <si>
    <t>Arpit</t>
  </si>
  <si>
    <t>0425628031</t>
  </si>
  <si>
    <t>CZT17J</t>
  </si>
  <si>
    <t>VH-156</t>
  </si>
  <si>
    <t>CL-156</t>
  </si>
  <si>
    <t>Virendra</t>
  </si>
  <si>
    <t>0412106096</t>
  </si>
  <si>
    <t>DKV93D</t>
  </si>
  <si>
    <t>VH-157</t>
  </si>
  <si>
    <t>CL-157</t>
  </si>
  <si>
    <t>Damaru Nepal</t>
  </si>
  <si>
    <t>0413754208</t>
  </si>
  <si>
    <t>YKP29F</t>
  </si>
  <si>
    <t>VH-158</t>
  </si>
  <si>
    <t>CL-158</t>
  </si>
  <si>
    <t>Sayed Akram Shahinkia</t>
  </si>
  <si>
    <t>0414883106</t>
  </si>
  <si>
    <t>BDL70R</t>
  </si>
  <si>
    <t>VH-159</t>
  </si>
  <si>
    <t>CL-159</t>
  </si>
  <si>
    <t>Nitin</t>
  </si>
  <si>
    <t>0452109849</t>
  </si>
  <si>
    <t>BV55WV</t>
  </si>
  <si>
    <t>VH-160</t>
  </si>
  <si>
    <t>CL-160</t>
  </si>
  <si>
    <t>Bandish</t>
  </si>
  <si>
    <t>0430889080</t>
  </si>
  <si>
    <t>DKP98Q</t>
  </si>
  <si>
    <t>VH-161</t>
  </si>
  <si>
    <t>CL-161</t>
  </si>
  <si>
    <t>Amit</t>
  </si>
  <si>
    <t>0401340890</t>
  </si>
  <si>
    <t>YCP56B</t>
  </si>
  <si>
    <t>VH-162</t>
  </si>
  <si>
    <t>CL-162</t>
  </si>
  <si>
    <t>Clyde Dsouza</t>
  </si>
  <si>
    <t>0401377537</t>
  </si>
  <si>
    <t>DB76PU</t>
  </si>
  <si>
    <t>VH-163</t>
  </si>
  <si>
    <t>CL-163</t>
  </si>
  <si>
    <t>John</t>
  </si>
  <si>
    <t>0400033748</t>
  </si>
  <si>
    <t>DN29JJ</t>
  </si>
  <si>
    <t>VH-164</t>
  </si>
  <si>
    <t>CL-164</t>
  </si>
  <si>
    <t>Samir Dhakal</t>
  </si>
  <si>
    <t>0405552645</t>
  </si>
  <si>
    <t>YID35E</t>
  </si>
  <si>
    <t>VH-165</t>
  </si>
  <si>
    <t>CL-165</t>
  </si>
  <si>
    <t>Samkolpa Paundel</t>
  </si>
  <si>
    <t>0432507646</t>
  </si>
  <si>
    <t>AQZ16M</t>
  </si>
  <si>
    <t>VH-166</t>
  </si>
  <si>
    <t>CL-166</t>
  </si>
  <si>
    <t>0423238260</t>
  </si>
  <si>
    <t>EMQ49L</t>
  </si>
  <si>
    <t>VH-167</t>
  </si>
  <si>
    <t>CL-167</t>
  </si>
  <si>
    <t>Bhupinder Singh</t>
  </si>
  <si>
    <t>0435508850</t>
  </si>
  <si>
    <t>EES10G</t>
  </si>
  <si>
    <t>VH-168</t>
  </si>
  <si>
    <t>CL-168</t>
  </si>
  <si>
    <t>Ranjit Singh</t>
  </si>
  <si>
    <t>0452076379</t>
  </si>
  <si>
    <t>FMA32J</t>
  </si>
  <si>
    <t>VH-169</t>
  </si>
  <si>
    <t>CL-169</t>
  </si>
  <si>
    <t>Linh Trong</t>
  </si>
  <si>
    <t>0422182456</t>
  </si>
  <si>
    <t>YKY92R</t>
  </si>
  <si>
    <t>VH-170</t>
  </si>
  <si>
    <t>CL-170</t>
  </si>
  <si>
    <t>Jasbir Singh</t>
  </si>
  <si>
    <t>0470201528</t>
  </si>
  <si>
    <t>LTD583</t>
  </si>
  <si>
    <t>VH-171</t>
  </si>
  <si>
    <t>CL-171</t>
  </si>
  <si>
    <t>Samraj Sekho</t>
  </si>
  <si>
    <t>FYR49D</t>
  </si>
  <si>
    <t>VH-172</t>
  </si>
  <si>
    <t>CL-172</t>
  </si>
  <si>
    <t>Rakesh Shah</t>
  </si>
  <si>
    <t>0425610980</t>
  </si>
  <si>
    <t>BN20HA</t>
  </si>
  <si>
    <t>VH-173</t>
  </si>
  <si>
    <t>CL-173</t>
  </si>
  <si>
    <t>Mittal</t>
  </si>
  <si>
    <t>0430453033</t>
  </si>
  <si>
    <t>EJC40X</t>
  </si>
  <si>
    <t>VH-174</t>
  </si>
  <si>
    <t>CL-174</t>
  </si>
  <si>
    <t>Baljit Singh</t>
  </si>
  <si>
    <t>043511590</t>
  </si>
  <si>
    <t>EJP18B</t>
  </si>
  <si>
    <t>VH-175</t>
  </si>
  <si>
    <t>CL-175</t>
  </si>
  <si>
    <t>Insite Care</t>
  </si>
  <si>
    <t>718JC2</t>
  </si>
  <si>
    <t>VH-176</t>
  </si>
  <si>
    <t>CL-176</t>
  </si>
  <si>
    <t>0470463641</t>
  </si>
  <si>
    <t>FPB22U</t>
  </si>
  <si>
    <t>VH-177</t>
  </si>
  <si>
    <t>CL-177</t>
  </si>
  <si>
    <t>Aman</t>
  </si>
  <si>
    <t>0402366495</t>
  </si>
  <si>
    <t>DK34UK</t>
  </si>
  <si>
    <t>VH-178</t>
  </si>
  <si>
    <t>CL-178</t>
  </si>
  <si>
    <t>Veerendra</t>
  </si>
  <si>
    <t>0469714636</t>
  </si>
  <si>
    <t>DF47ES</t>
  </si>
  <si>
    <t>VH-179</t>
  </si>
  <si>
    <t>CL-179</t>
  </si>
  <si>
    <t>Amrit Thind</t>
  </si>
  <si>
    <t>0430245223</t>
  </si>
  <si>
    <t>GS0017</t>
  </si>
  <si>
    <t>VH-180</t>
  </si>
  <si>
    <t>CL-180</t>
  </si>
  <si>
    <t>Khandakar Shakiluzzaman</t>
  </si>
  <si>
    <t>0424380073</t>
  </si>
  <si>
    <t>T4227</t>
  </si>
  <si>
    <t>VH-181</t>
  </si>
  <si>
    <t>CL-181</t>
  </si>
  <si>
    <t>Sumit</t>
  </si>
  <si>
    <t>0414500002</t>
  </si>
  <si>
    <t>DVG22M</t>
  </si>
  <si>
    <t>VH-182</t>
  </si>
  <si>
    <t>CL-182</t>
  </si>
  <si>
    <t>Mick Thomson</t>
  </si>
  <si>
    <t>0419633779</t>
  </si>
  <si>
    <t>MT282</t>
  </si>
  <si>
    <t>VH-183</t>
  </si>
  <si>
    <t>CL-183</t>
  </si>
  <si>
    <t>Rohit</t>
  </si>
  <si>
    <t>0481359549</t>
  </si>
  <si>
    <t>CS32FT</t>
  </si>
  <si>
    <t>VH-184</t>
  </si>
  <si>
    <t>CL-184</t>
  </si>
  <si>
    <t>Sanju</t>
  </si>
  <si>
    <t>0425737391</t>
  </si>
  <si>
    <t>YDR77G</t>
  </si>
  <si>
    <t>VH-185</t>
  </si>
  <si>
    <t>CL-185</t>
  </si>
  <si>
    <t>Alen</t>
  </si>
  <si>
    <t>0420353979</t>
  </si>
  <si>
    <t>DQR33N</t>
  </si>
  <si>
    <t>VH-186</t>
  </si>
  <si>
    <t>CL-186</t>
  </si>
  <si>
    <t>Lorenzo</t>
  </si>
  <si>
    <t>0405160187</t>
  </si>
  <si>
    <t>BV91HJ</t>
  </si>
  <si>
    <t>VH-187</t>
  </si>
  <si>
    <t>CL-187</t>
  </si>
  <si>
    <t>Ismeet Kaur</t>
  </si>
  <si>
    <t>0405501625</t>
  </si>
  <si>
    <t>BBC86N</t>
  </si>
  <si>
    <t>VH-188</t>
  </si>
  <si>
    <t>CL-188</t>
  </si>
  <si>
    <t>0424766711</t>
  </si>
  <si>
    <t>2BN5ST</t>
  </si>
  <si>
    <t>VH-189</t>
  </si>
  <si>
    <t>CL-189</t>
  </si>
  <si>
    <t>Karan</t>
  </si>
  <si>
    <t>0449976786</t>
  </si>
  <si>
    <t>EUE78Q</t>
  </si>
  <si>
    <t>VH-190</t>
  </si>
  <si>
    <t>CL-190</t>
  </si>
  <si>
    <t>Shareeltika Chard</t>
  </si>
  <si>
    <t>0433759236</t>
  </si>
  <si>
    <t>66BRAR</t>
  </si>
  <si>
    <t>VH-191</t>
  </si>
  <si>
    <t>CL-191</t>
  </si>
  <si>
    <t>Jyothis Joseph George</t>
  </si>
  <si>
    <t>0490445485</t>
  </si>
  <si>
    <t>BTB10J</t>
  </si>
  <si>
    <t>VH-192</t>
  </si>
  <si>
    <t>CL-192</t>
  </si>
  <si>
    <t>Mases Ezekiel</t>
  </si>
  <si>
    <t>042138608</t>
  </si>
  <si>
    <t>BND78E</t>
  </si>
  <si>
    <t>VH-193</t>
  </si>
  <si>
    <t>CL-193</t>
  </si>
  <si>
    <t>Dalwinder Kaur</t>
  </si>
  <si>
    <t>0425906596</t>
  </si>
  <si>
    <t>13ZORA</t>
  </si>
  <si>
    <t>VH-194</t>
  </si>
  <si>
    <t>CL-194</t>
  </si>
  <si>
    <t>Davinder Singh</t>
  </si>
  <si>
    <t>0452499425</t>
  </si>
  <si>
    <t>COQ44U</t>
  </si>
  <si>
    <t>VH-195</t>
  </si>
  <si>
    <t>CL-195</t>
  </si>
  <si>
    <t>Rishi</t>
  </si>
  <si>
    <t>0416520481</t>
  </si>
  <si>
    <t>FRI22P</t>
  </si>
  <si>
    <t>VH-196</t>
  </si>
  <si>
    <t>CL-196</t>
  </si>
  <si>
    <t>Mohamad Yasir</t>
  </si>
  <si>
    <t>0477533994</t>
  </si>
  <si>
    <t>FFM24U</t>
  </si>
  <si>
    <t>VH-197</t>
  </si>
  <si>
    <t>CL-197</t>
  </si>
  <si>
    <t>Carmatey Kobbla</t>
  </si>
  <si>
    <t>0451792853</t>
  </si>
  <si>
    <t>CV11TL</t>
  </si>
  <si>
    <t>VH-198</t>
  </si>
  <si>
    <t>CL-198</t>
  </si>
  <si>
    <t>Sodhi</t>
  </si>
  <si>
    <t>0413146126</t>
  </si>
  <si>
    <t>13SODI</t>
  </si>
  <si>
    <t>VH-199</t>
  </si>
  <si>
    <t>CL-199</t>
  </si>
  <si>
    <t>CWB10Q</t>
  </si>
  <si>
    <t>VH-200</t>
  </si>
  <si>
    <t>CL-200</t>
  </si>
  <si>
    <t>Codle</t>
  </si>
  <si>
    <t>0419255816</t>
  </si>
  <si>
    <t>CF09VW</t>
  </si>
  <si>
    <t>VH-201</t>
  </si>
  <si>
    <t>CL-201</t>
  </si>
  <si>
    <t>Prabhjot Singh</t>
  </si>
  <si>
    <t>0493389204</t>
  </si>
  <si>
    <t>CU44FD</t>
  </si>
  <si>
    <t>VH-202</t>
  </si>
  <si>
    <t>CL-202</t>
  </si>
  <si>
    <t>Kalyani</t>
  </si>
  <si>
    <t>0424350200</t>
  </si>
  <si>
    <t>YCL33Y</t>
  </si>
  <si>
    <t>VH-203</t>
  </si>
  <si>
    <t>CL-203</t>
  </si>
  <si>
    <t>Charlise</t>
  </si>
  <si>
    <t>0401910971</t>
  </si>
  <si>
    <t>EPU07V</t>
  </si>
  <si>
    <t>VH-204</t>
  </si>
  <si>
    <t>CL-204</t>
  </si>
  <si>
    <t>Prabesh Khadka</t>
  </si>
  <si>
    <t>0415781315</t>
  </si>
  <si>
    <t>DJW71Y</t>
  </si>
  <si>
    <t>VH-205</t>
  </si>
  <si>
    <t>CL-205</t>
  </si>
  <si>
    <t>Fahri</t>
  </si>
  <si>
    <t>0404935227</t>
  </si>
  <si>
    <t>YJY06N</t>
  </si>
  <si>
    <t>VH-206</t>
  </si>
  <si>
    <t>CL-206</t>
  </si>
  <si>
    <t>Harpal Kahlon Pty Ltd</t>
  </si>
  <si>
    <t>0410029005</t>
  </si>
  <si>
    <t>DC45SB</t>
  </si>
  <si>
    <t>VH-207</t>
  </si>
  <si>
    <t>CL-207</t>
  </si>
  <si>
    <t>Manveer Gill</t>
  </si>
  <si>
    <t>0470303491</t>
  </si>
  <si>
    <t>AP90LA</t>
  </si>
  <si>
    <t>VH-208</t>
  </si>
  <si>
    <t>CL-208</t>
  </si>
  <si>
    <t>042392300</t>
  </si>
  <si>
    <t>YIE70G</t>
  </si>
  <si>
    <t>VH-209</t>
  </si>
  <si>
    <t>CL-209</t>
  </si>
  <si>
    <t>Amiry</t>
  </si>
  <si>
    <t>0416071198</t>
  </si>
  <si>
    <t>CAJ83V</t>
  </si>
  <si>
    <t>VH-210</t>
  </si>
  <si>
    <t>CL-210</t>
  </si>
  <si>
    <t>0410071227</t>
  </si>
  <si>
    <t>CW08LU</t>
  </si>
  <si>
    <t>VH-211</t>
  </si>
  <si>
    <t>CL-211</t>
  </si>
  <si>
    <t>Ketan Desai</t>
  </si>
  <si>
    <t>0422583522</t>
  </si>
  <si>
    <t>DKG83T</t>
  </si>
  <si>
    <t>VH-212</t>
  </si>
  <si>
    <t>CL-212</t>
  </si>
  <si>
    <t>Paramir Singh</t>
  </si>
  <si>
    <t>0439426420</t>
  </si>
  <si>
    <t>AXK07W</t>
  </si>
  <si>
    <t>VH-213</t>
  </si>
  <si>
    <t>CL-213</t>
  </si>
  <si>
    <t>Hari Nevpane</t>
  </si>
  <si>
    <t>0452507015</t>
  </si>
  <si>
    <t>DPW54W</t>
  </si>
  <si>
    <t>VH-214</t>
  </si>
  <si>
    <t>CL-214</t>
  </si>
  <si>
    <t>Sony</t>
  </si>
  <si>
    <t>FED88F</t>
  </si>
  <si>
    <t>VH-215</t>
  </si>
  <si>
    <t>CL-215</t>
  </si>
  <si>
    <t>Trystan Tunstell</t>
  </si>
  <si>
    <t>0492337149</t>
  </si>
  <si>
    <t>EWE74R</t>
  </si>
  <si>
    <t>VH-216</t>
  </si>
  <si>
    <t>CL-216</t>
  </si>
  <si>
    <t>Dharam</t>
  </si>
  <si>
    <t>0450878343</t>
  </si>
  <si>
    <t>DW230Y</t>
  </si>
  <si>
    <t>VH-217</t>
  </si>
  <si>
    <t>CL-217</t>
  </si>
  <si>
    <t>Bittu</t>
  </si>
  <si>
    <t>0415807616</t>
  </si>
  <si>
    <t>84BJWA</t>
  </si>
  <si>
    <t>VH-218</t>
  </si>
  <si>
    <t>CL-218</t>
  </si>
  <si>
    <t>Chidda</t>
  </si>
  <si>
    <t>YCZ03P</t>
  </si>
  <si>
    <t>VH-219</t>
  </si>
  <si>
    <t>CL-219</t>
  </si>
  <si>
    <t>Vikram Gill</t>
  </si>
  <si>
    <t>0435657475</t>
  </si>
  <si>
    <t>EU283Y</t>
  </si>
  <si>
    <t>VH-220</t>
  </si>
  <si>
    <t>CL-220</t>
  </si>
  <si>
    <t>Ashvin Panchal</t>
  </si>
  <si>
    <t>0433881284</t>
  </si>
  <si>
    <t>DM42XR</t>
  </si>
  <si>
    <t>VH-221</t>
  </si>
  <si>
    <t>CL-221</t>
  </si>
  <si>
    <t>Thisheri</t>
  </si>
  <si>
    <t>0433432132</t>
  </si>
  <si>
    <t>DN18LU</t>
  </si>
  <si>
    <t>VH-222</t>
  </si>
  <si>
    <t>CL-222</t>
  </si>
  <si>
    <t>0406291021</t>
  </si>
  <si>
    <t>ENA05E</t>
  </si>
  <si>
    <t>VH-223</t>
  </si>
  <si>
    <t>CL-223</t>
  </si>
  <si>
    <t>DL13HQ</t>
  </si>
  <si>
    <t>VH-224</t>
  </si>
  <si>
    <t>CL-224</t>
  </si>
  <si>
    <t>Bongo</t>
  </si>
  <si>
    <t>0435920171</t>
  </si>
  <si>
    <t>FB009R</t>
  </si>
  <si>
    <t>VH-225</t>
  </si>
  <si>
    <t>CL-225</t>
  </si>
  <si>
    <t>Girish</t>
  </si>
  <si>
    <t>0424 756 356</t>
  </si>
  <si>
    <t>CK86YW</t>
  </si>
  <si>
    <t>VH-226</t>
  </si>
  <si>
    <t>CL-226</t>
  </si>
  <si>
    <t>Bhopi</t>
  </si>
  <si>
    <t>BSV56B</t>
  </si>
  <si>
    <t>VH-227</t>
  </si>
  <si>
    <t>CL-227</t>
  </si>
  <si>
    <t>BHP21M</t>
  </si>
  <si>
    <t>VH-228</t>
  </si>
  <si>
    <t>CL-228</t>
  </si>
  <si>
    <t>Manmeet Singh</t>
  </si>
  <si>
    <t>0404900005</t>
  </si>
  <si>
    <t>CJO67Q</t>
  </si>
  <si>
    <t>VH-229</t>
  </si>
  <si>
    <t>CL-229</t>
  </si>
  <si>
    <t>ELP88V</t>
  </si>
  <si>
    <t>VH-230</t>
  </si>
  <si>
    <t>CL-230</t>
  </si>
  <si>
    <t>Aimee Williams</t>
  </si>
  <si>
    <t>0412465250</t>
  </si>
  <si>
    <t>YIG23Q</t>
  </si>
  <si>
    <t>VH-231</t>
  </si>
  <si>
    <t>CL-231</t>
  </si>
  <si>
    <t>Yuvraj Singh Kinda</t>
  </si>
  <si>
    <t>0494567718</t>
  </si>
  <si>
    <t>YDX78U</t>
  </si>
  <si>
    <t>VH-232</t>
  </si>
  <si>
    <t>CL-232</t>
  </si>
  <si>
    <t>Elijah Govdar</t>
  </si>
  <si>
    <t>0412368586</t>
  </si>
  <si>
    <t>BGQ86J</t>
  </si>
  <si>
    <t>VH-233</t>
  </si>
  <si>
    <t>CL-233</t>
  </si>
  <si>
    <t>Nepal</t>
  </si>
  <si>
    <t>0422305663</t>
  </si>
  <si>
    <t>DBB53J</t>
  </si>
  <si>
    <t>VH-234</t>
  </si>
  <si>
    <t>CL-234</t>
  </si>
  <si>
    <t>Kevin Mills</t>
  </si>
  <si>
    <t>0420551428</t>
  </si>
  <si>
    <t>CDP85T</t>
  </si>
  <si>
    <t>VH-235</t>
  </si>
  <si>
    <t>CL-235</t>
  </si>
  <si>
    <t>Veerpal Kaur</t>
  </si>
  <si>
    <t>0469097595</t>
  </si>
  <si>
    <t>CS65VQ</t>
  </si>
  <si>
    <t>VH-236</t>
  </si>
  <si>
    <t>CL-236</t>
  </si>
  <si>
    <t>Navneet Singh</t>
  </si>
  <si>
    <t>0421756728</t>
  </si>
  <si>
    <t>DJG91T</t>
  </si>
  <si>
    <t>VH-237</t>
  </si>
  <si>
    <t>CL-237</t>
  </si>
  <si>
    <t>Mann</t>
  </si>
  <si>
    <t>FFM76J</t>
  </si>
  <si>
    <t>VH-238</t>
  </si>
  <si>
    <t>CL-238</t>
  </si>
  <si>
    <t>DN63ZP</t>
  </si>
  <si>
    <t>VH-239</t>
  </si>
  <si>
    <t>CL-239</t>
  </si>
  <si>
    <t>Nimil Patel</t>
  </si>
  <si>
    <t>1RC5AM</t>
  </si>
  <si>
    <t>VH-240</t>
  </si>
  <si>
    <t>CL-240</t>
  </si>
  <si>
    <t>Nimal Patel Nilamkumar</t>
  </si>
  <si>
    <t>0424135206</t>
  </si>
  <si>
    <t>213X6UD</t>
  </si>
  <si>
    <t>VH-241</t>
  </si>
  <si>
    <t>CL-241</t>
  </si>
  <si>
    <t>Parwinder Singh</t>
  </si>
  <si>
    <t>0470630008</t>
  </si>
  <si>
    <t>CNZ84D</t>
  </si>
  <si>
    <t>VH-242</t>
  </si>
  <si>
    <t>CL-242</t>
  </si>
  <si>
    <t>Harvinder Kaur</t>
  </si>
  <si>
    <t>0433509491</t>
  </si>
  <si>
    <t>EBA83J</t>
  </si>
  <si>
    <t>VH-243</t>
  </si>
  <si>
    <t>CL-243</t>
  </si>
  <si>
    <t>Jagmohan G</t>
  </si>
  <si>
    <t>CRB24N</t>
  </si>
  <si>
    <t>VH-244</t>
  </si>
  <si>
    <t>CL-244</t>
  </si>
  <si>
    <t>Rajiv Kafle</t>
  </si>
  <si>
    <t>0423013487</t>
  </si>
  <si>
    <t>CTC93Y</t>
  </si>
  <si>
    <t>VH-245</t>
  </si>
  <si>
    <t>CL-245</t>
  </si>
  <si>
    <t>Urooj Raza</t>
  </si>
  <si>
    <t>0469049030</t>
  </si>
  <si>
    <t>DH16PW</t>
  </si>
  <si>
    <t>VH-246</t>
  </si>
  <si>
    <t>CL-246</t>
  </si>
  <si>
    <t>Kevin</t>
  </si>
  <si>
    <t>0430888648</t>
  </si>
  <si>
    <t>CQ92HK</t>
  </si>
  <si>
    <t>VH-247</t>
  </si>
  <si>
    <t>CL-247</t>
  </si>
  <si>
    <t>0402110194</t>
  </si>
  <si>
    <t>SML034</t>
  </si>
  <si>
    <t>VH-248</t>
  </si>
  <si>
    <t>CL-248</t>
  </si>
  <si>
    <t>Arman</t>
  </si>
  <si>
    <t>0416146672</t>
  </si>
  <si>
    <t>DTJ18H</t>
  </si>
  <si>
    <t>VH-249</t>
  </si>
  <si>
    <t>CL-249</t>
  </si>
  <si>
    <t>Gurvinder Singh</t>
  </si>
  <si>
    <t>0451670058</t>
  </si>
  <si>
    <t>0350H2</t>
  </si>
  <si>
    <t>VH-250</t>
  </si>
  <si>
    <t>CL-250</t>
  </si>
  <si>
    <t>Santhosh</t>
  </si>
  <si>
    <t>0415726732</t>
  </si>
  <si>
    <t>BGD26S</t>
  </si>
  <si>
    <t>VH-251</t>
  </si>
  <si>
    <t>CL-251</t>
  </si>
  <si>
    <t>BGD265</t>
  </si>
  <si>
    <t>VH-252</t>
  </si>
  <si>
    <t>CL-252</t>
  </si>
  <si>
    <t>Tomas Kopf</t>
  </si>
  <si>
    <t>0426284627</t>
  </si>
  <si>
    <t>DE53MV</t>
  </si>
  <si>
    <t>VH-253</t>
  </si>
  <si>
    <t>CL-253</t>
  </si>
  <si>
    <t>John Paul</t>
  </si>
  <si>
    <t>0452363705</t>
  </si>
  <si>
    <t>CIV11U</t>
  </si>
  <si>
    <t>VH-254</t>
  </si>
  <si>
    <t>CL-254</t>
  </si>
  <si>
    <t>Akarshak Gera</t>
  </si>
  <si>
    <t>0416612303</t>
  </si>
  <si>
    <t>BHU96Q</t>
  </si>
  <si>
    <t>VH-255</t>
  </si>
  <si>
    <t>CL-255</t>
  </si>
  <si>
    <t>Imran</t>
  </si>
  <si>
    <t>0416851136</t>
  </si>
  <si>
    <t>FNT76S</t>
  </si>
  <si>
    <t>VH-256</t>
  </si>
  <si>
    <t>CL-256</t>
  </si>
  <si>
    <t>Alex</t>
  </si>
  <si>
    <t>0414556998</t>
  </si>
  <si>
    <t>CGL19Z</t>
  </si>
  <si>
    <t>VH-257</t>
  </si>
  <si>
    <t>CL-257</t>
  </si>
  <si>
    <t>Karamjit Singh</t>
  </si>
  <si>
    <t>0403564057</t>
  </si>
  <si>
    <t>EDC91G</t>
  </si>
  <si>
    <t>VH-258</t>
  </si>
  <si>
    <t>CL-258</t>
  </si>
  <si>
    <t>Tristan</t>
  </si>
  <si>
    <t>0480230834</t>
  </si>
  <si>
    <t>DN49FM</t>
  </si>
  <si>
    <t>VH-259</t>
  </si>
  <si>
    <t>CL-259</t>
  </si>
  <si>
    <t>Pardeep Gill</t>
  </si>
  <si>
    <t>0430104889</t>
  </si>
  <si>
    <t>YMA61P</t>
  </si>
  <si>
    <t>VH-260</t>
  </si>
  <si>
    <t>CL-260</t>
  </si>
  <si>
    <t>Jasbir</t>
  </si>
  <si>
    <t>0404834123</t>
  </si>
  <si>
    <t>DHN61Y</t>
  </si>
  <si>
    <t>VH-261</t>
  </si>
  <si>
    <t>CL-261</t>
  </si>
  <si>
    <t>Rajbir</t>
  </si>
  <si>
    <t>0430050714</t>
  </si>
  <si>
    <t>DH45CR</t>
  </si>
  <si>
    <t>VH-262</t>
  </si>
  <si>
    <t>CL-262</t>
  </si>
  <si>
    <t>Achut</t>
  </si>
  <si>
    <t>0432322192</t>
  </si>
  <si>
    <t>EKS73S</t>
  </si>
  <si>
    <t>VH-263</t>
  </si>
  <si>
    <t>CL-263</t>
  </si>
  <si>
    <t>0499923625</t>
  </si>
  <si>
    <t>BMJ52K</t>
  </si>
  <si>
    <t>VH-264</t>
  </si>
  <si>
    <t>CL-264</t>
  </si>
  <si>
    <t>Troy Marschall</t>
  </si>
  <si>
    <t>0425362813</t>
  </si>
  <si>
    <t>CI64CG</t>
  </si>
  <si>
    <t>VH-265</t>
  </si>
  <si>
    <t>CL-265</t>
  </si>
  <si>
    <t>BTR10R</t>
  </si>
  <si>
    <t>VH-266</t>
  </si>
  <si>
    <t>CL-266</t>
  </si>
  <si>
    <t>Beatte</t>
  </si>
  <si>
    <t>0430417373</t>
  </si>
  <si>
    <t>BS79CQ</t>
  </si>
  <si>
    <t>VH-267</t>
  </si>
  <si>
    <t>CL-267</t>
  </si>
  <si>
    <t>Nirmal Susai</t>
  </si>
  <si>
    <t>0430784174</t>
  </si>
  <si>
    <t>4DL60N</t>
  </si>
  <si>
    <t>VH-268</t>
  </si>
  <si>
    <t>CL-268</t>
  </si>
  <si>
    <t>Cyrus Irani</t>
  </si>
  <si>
    <t>0420478282</t>
  </si>
  <si>
    <t>FOF31W</t>
  </si>
  <si>
    <t>VH-269</t>
  </si>
  <si>
    <t>CL-269</t>
  </si>
  <si>
    <t>Kapil</t>
  </si>
  <si>
    <t>0416788654</t>
  </si>
  <si>
    <t>DCH64A</t>
  </si>
  <si>
    <t>VH-270</t>
  </si>
  <si>
    <t>CL-270</t>
  </si>
  <si>
    <t>Suhad</t>
  </si>
  <si>
    <t>0423550313</t>
  </si>
  <si>
    <t>CZL78D</t>
  </si>
  <si>
    <t>VH-271</t>
  </si>
  <si>
    <t>CL-271</t>
  </si>
  <si>
    <t>Kuljit Singh</t>
  </si>
  <si>
    <t>0490082297</t>
  </si>
  <si>
    <t>EEG41C</t>
  </si>
  <si>
    <t>VH-272</t>
  </si>
  <si>
    <t>CL-272</t>
  </si>
  <si>
    <t>Malhi</t>
  </si>
  <si>
    <t>DDY495</t>
  </si>
  <si>
    <t>VH-273</t>
  </si>
  <si>
    <t>CL-273</t>
  </si>
  <si>
    <t>CC05PV</t>
  </si>
  <si>
    <t>VH-274</t>
  </si>
  <si>
    <t>CL-274</t>
  </si>
  <si>
    <t>Kang &amp; Gill Investments Pty Lt</t>
  </si>
  <si>
    <t>0433431892</t>
  </si>
  <si>
    <t>ETB39U</t>
  </si>
  <si>
    <t>VH-275</t>
  </si>
  <si>
    <t>CL-275</t>
  </si>
  <si>
    <t>Saab Doors</t>
  </si>
  <si>
    <t>0451153912</t>
  </si>
  <si>
    <t>BH20HM</t>
  </si>
  <si>
    <t>VH-276</t>
  </si>
  <si>
    <t>CL-276</t>
  </si>
  <si>
    <t>Carlos</t>
  </si>
  <si>
    <t>0403490234</t>
  </si>
  <si>
    <t>ADC62L</t>
  </si>
  <si>
    <t>VH-277</t>
  </si>
  <si>
    <t>CL-277</t>
  </si>
  <si>
    <t>Melissa</t>
  </si>
  <si>
    <t>0450267373</t>
  </si>
  <si>
    <t>TYW517</t>
  </si>
  <si>
    <t>VH-278</t>
  </si>
  <si>
    <t>CL-278</t>
  </si>
  <si>
    <t>Ramash</t>
  </si>
  <si>
    <t>0423327436</t>
  </si>
  <si>
    <t>COI89D</t>
  </si>
  <si>
    <t>VH-279</t>
  </si>
  <si>
    <t>CL-279</t>
  </si>
  <si>
    <t>Amhad</t>
  </si>
  <si>
    <t>0402709593</t>
  </si>
  <si>
    <t>DFW63N</t>
  </si>
  <si>
    <t>VH-280</t>
  </si>
  <si>
    <t>CL-280</t>
  </si>
  <si>
    <t>Sam</t>
  </si>
  <si>
    <t>0403231967</t>
  </si>
  <si>
    <t>DL53DR</t>
  </si>
  <si>
    <t>VH-281</t>
  </si>
  <si>
    <t>CL-281</t>
  </si>
  <si>
    <t>Jashan</t>
  </si>
  <si>
    <t>0451115000</t>
  </si>
  <si>
    <t>FJH41J</t>
  </si>
  <si>
    <t>VH-282</t>
  </si>
  <si>
    <t>CL-282</t>
  </si>
  <si>
    <t>Silipa</t>
  </si>
  <si>
    <t>0405370729</t>
  </si>
  <si>
    <t>DI46TP</t>
  </si>
  <si>
    <t>VH-283</t>
  </si>
  <si>
    <t>CL-283</t>
  </si>
  <si>
    <t>Tirath</t>
  </si>
  <si>
    <t>0482985899</t>
  </si>
  <si>
    <t>JOYCE</t>
  </si>
  <si>
    <t>VH-284</t>
  </si>
  <si>
    <t>CL-284</t>
  </si>
  <si>
    <t>CI18SX</t>
  </si>
  <si>
    <t>VH-285</t>
  </si>
  <si>
    <t>CL-285</t>
  </si>
  <si>
    <t>048985899</t>
  </si>
  <si>
    <t>FRH01F</t>
  </si>
  <si>
    <t>VH-286</t>
  </si>
  <si>
    <t>CL-286</t>
  </si>
  <si>
    <t>Dekirpa Renovation Pty Ltd</t>
  </si>
  <si>
    <t>0450803685</t>
  </si>
  <si>
    <t>CHJ94Y</t>
  </si>
  <si>
    <t>VH-287</t>
  </si>
  <si>
    <t>CL-287</t>
  </si>
  <si>
    <t>0415551264</t>
  </si>
  <si>
    <t>DH56NI</t>
  </si>
  <si>
    <t>VH-288</t>
  </si>
  <si>
    <t>CL-288</t>
  </si>
  <si>
    <t>Tarek</t>
  </si>
  <si>
    <t>0406280367</t>
  </si>
  <si>
    <t>EZF18M</t>
  </si>
  <si>
    <t>VH-289</t>
  </si>
  <si>
    <t>CL-289</t>
  </si>
  <si>
    <t>Gurpal Singh</t>
  </si>
  <si>
    <t>0433626307</t>
  </si>
  <si>
    <t>YHU88V</t>
  </si>
  <si>
    <t>VH-290</t>
  </si>
  <si>
    <t>CL-290</t>
  </si>
  <si>
    <t>Kang Saab</t>
  </si>
  <si>
    <t>0419005277</t>
  </si>
  <si>
    <t>MRKANG</t>
  </si>
  <si>
    <t>VH-291</t>
  </si>
  <si>
    <t>CL-291</t>
  </si>
  <si>
    <t>0433633784</t>
  </si>
  <si>
    <t>FCX68P</t>
  </si>
  <si>
    <t>VH-292</t>
  </si>
  <si>
    <t>CL-292</t>
  </si>
  <si>
    <t>Guri</t>
  </si>
  <si>
    <t>EWR79G</t>
  </si>
  <si>
    <t>VH-293</t>
  </si>
  <si>
    <t>CL-293</t>
  </si>
  <si>
    <t>Keith</t>
  </si>
  <si>
    <t>0427700669</t>
  </si>
  <si>
    <t>DJ58NY</t>
  </si>
  <si>
    <t>VH-294</t>
  </si>
  <si>
    <t>CL-294</t>
  </si>
  <si>
    <t>Sueliza Ali</t>
  </si>
  <si>
    <t>CH13VG</t>
  </si>
  <si>
    <t>VH-295</t>
  </si>
  <si>
    <t>CL-295</t>
  </si>
  <si>
    <t>Sagar Patel</t>
  </si>
  <si>
    <t>0433789880</t>
  </si>
  <si>
    <t>CM07RY</t>
  </si>
  <si>
    <t>VH-296</t>
  </si>
  <si>
    <t>CL-296</t>
  </si>
  <si>
    <t>Lovepreet</t>
  </si>
  <si>
    <t>0430453626</t>
  </si>
  <si>
    <t>EMP85K</t>
  </si>
  <si>
    <t>VH-297</t>
  </si>
  <si>
    <t>CL-297</t>
  </si>
  <si>
    <t>0421864658</t>
  </si>
  <si>
    <t>DJR94Z</t>
  </si>
  <si>
    <t>VH-298</t>
  </si>
  <si>
    <t>CL-298</t>
  </si>
  <si>
    <t>Sajjad</t>
  </si>
  <si>
    <t>0455141864</t>
  </si>
  <si>
    <t>CAK00F</t>
  </si>
  <si>
    <t>VH-299</t>
  </si>
  <si>
    <t>CL-299</t>
  </si>
  <si>
    <t>Vitan Shan</t>
  </si>
  <si>
    <t>0452350525</t>
  </si>
  <si>
    <t>BVJ58N</t>
  </si>
  <si>
    <t>VH-300</t>
  </si>
  <si>
    <t>CL-300</t>
  </si>
  <si>
    <t>Deep Dhillon</t>
  </si>
  <si>
    <t>434285515</t>
  </si>
  <si>
    <t>BR472H</t>
  </si>
  <si>
    <t>VH-301</t>
  </si>
  <si>
    <t>CL-301</t>
  </si>
  <si>
    <t>Kamal Nepal</t>
  </si>
  <si>
    <t>0490246967</t>
  </si>
  <si>
    <t>YIC35S</t>
  </si>
  <si>
    <t>VH-302</t>
  </si>
  <si>
    <t>CL-302</t>
  </si>
  <si>
    <t>Nawal Tardon</t>
  </si>
  <si>
    <t>0415839006</t>
  </si>
  <si>
    <t>DAE83V</t>
  </si>
  <si>
    <t>VH-303</t>
  </si>
  <si>
    <t>CL-303</t>
  </si>
  <si>
    <t>Vikes</t>
  </si>
  <si>
    <t>0410335307</t>
  </si>
  <si>
    <t>DC28EE</t>
  </si>
  <si>
    <t>VH-304</t>
  </si>
  <si>
    <t>CL-304</t>
  </si>
  <si>
    <t>0420703267</t>
  </si>
  <si>
    <t>DG39VM</t>
  </si>
  <si>
    <t>VH-305</t>
  </si>
  <si>
    <t>CL-305</t>
  </si>
  <si>
    <t>Preet</t>
  </si>
  <si>
    <t>0433681760</t>
  </si>
  <si>
    <t>CM64WO</t>
  </si>
  <si>
    <t>VH-306</t>
  </si>
  <si>
    <t>CL-306</t>
  </si>
  <si>
    <t>Ajagdeep Singh</t>
  </si>
  <si>
    <t>0470551285</t>
  </si>
  <si>
    <t>BSX63P</t>
  </si>
  <si>
    <t>VH-307</t>
  </si>
  <si>
    <t>CL-307</t>
  </si>
  <si>
    <t>Vikram</t>
  </si>
  <si>
    <t>EUZ83Y</t>
  </si>
  <si>
    <t>VH-308</t>
  </si>
  <si>
    <t>CL-308</t>
  </si>
  <si>
    <t>Jaish</t>
  </si>
  <si>
    <t>0424289333</t>
  </si>
  <si>
    <t>CPQ77B</t>
  </si>
  <si>
    <t>VH-309</t>
  </si>
  <si>
    <t>CL-309</t>
  </si>
  <si>
    <t>Harsimean</t>
  </si>
  <si>
    <t>0469370531</t>
  </si>
  <si>
    <t>CZ64MK</t>
  </si>
  <si>
    <t>VH-310</t>
  </si>
  <si>
    <t>CL-310</t>
  </si>
  <si>
    <t>Parth Shah</t>
  </si>
  <si>
    <t>0433603466</t>
  </si>
  <si>
    <t>YJH58N</t>
  </si>
  <si>
    <t>VH-311</t>
  </si>
  <si>
    <t>CL-311</t>
  </si>
  <si>
    <t>Simranget Singh</t>
  </si>
  <si>
    <t>0449547464</t>
  </si>
  <si>
    <t>ELL88L</t>
  </si>
  <si>
    <t>VH-312</t>
  </si>
  <si>
    <t>CL-312</t>
  </si>
  <si>
    <t>Subhi</t>
  </si>
  <si>
    <t>DXX61Q</t>
  </si>
  <si>
    <t>VH-313</t>
  </si>
  <si>
    <t>CL-313</t>
  </si>
  <si>
    <t>Aman Paji</t>
  </si>
  <si>
    <t>0430646076</t>
  </si>
  <si>
    <t>CID78G</t>
  </si>
  <si>
    <t>VH-314</t>
  </si>
  <si>
    <t>CL-314</t>
  </si>
  <si>
    <t>Jeevan</t>
  </si>
  <si>
    <t>0451296964</t>
  </si>
  <si>
    <t>CJ19ZU</t>
  </si>
  <si>
    <t>VH-315</t>
  </si>
  <si>
    <t>CL-315</t>
  </si>
  <si>
    <t>Ashish Thakur</t>
  </si>
  <si>
    <t>0493080584</t>
  </si>
  <si>
    <t>CMA75M</t>
  </si>
  <si>
    <t>VH-316</t>
  </si>
  <si>
    <t>CL-316</t>
  </si>
  <si>
    <t>Kritika Ballu</t>
  </si>
  <si>
    <t>0414789158</t>
  </si>
  <si>
    <t>CM09NF</t>
  </si>
  <si>
    <t>VH-317</t>
  </si>
  <si>
    <t>CL-317</t>
  </si>
  <si>
    <t>Kunal</t>
  </si>
  <si>
    <t>0449804216</t>
  </si>
  <si>
    <t>DAI83S</t>
  </si>
  <si>
    <t>VH-318</t>
  </si>
  <si>
    <t>CL-318</t>
  </si>
  <si>
    <t>Navneet Ca</t>
  </si>
  <si>
    <t>DJL87L</t>
  </si>
  <si>
    <t>VH-319</t>
  </si>
  <si>
    <t>CL-319</t>
  </si>
  <si>
    <t>Dilwar</t>
  </si>
  <si>
    <t>0402427752</t>
  </si>
  <si>
    <t>CXX009</t>
  </si>
  <si>
    <t>VH-320</t>
  </si>
  <si>
    <t>CL-320</t>
  </si>
  <si>
    <t>Jagbir Singh</t>
  </si>
  <si>
    <t>0430084092</t>
  </si>
  <si>
    <t>CIG57Z</t>
  </si>
  <si>
    <t>VH-321</t>
  </si>
  <si>
    <t>CL-321</t>
  </si>
  <si>
    <t>Guriqbal Sedha</t>
  </si>
  <si>
    <t>0417706861</t>
  </si>
  <si>
    <t>CTP61M</t>
  </si>
  <si>
    <t>VH-322</t>
  </si>
  <si>
    <t>CL-322</t>
  </si>
  <si>
    <t>CTT64J</t>
  </si>
  <si>
    <t>VH-323</t>
  </si>
  <si>
    <t>CL-323</t>
  </si>
  <si>
    <t>Amrit Singh</t>
  </si>
  <si>
    <t>0478669226</t>
  </si>
  <si>
    <t>CP68AB</t>
  </si>
  <si>
    <t>VH-324</t>
  </si>
  <si>
    <t>CL-324</t>
  </si>
  <si>
    <t>0434285515</t>
  </si>
  <si>
    <t>BR47ZH</t>
  </si>
  <si>
    <t>Record_ID</t>
  </si>
  <si>
    <t>Date</t>
  </si>
  <si>
    <t>Type</t>
  </si>
  <si>
    <t>Details</t>
  </si>
  <si>
    <t>Mechanic</t>
  </si>
  <si>
    <t>Cost</t>
  </si>
  <si>
    <t>MH-1</t>
  </si>
  <si>
    <t xml:space="preserve">Full service  </t>
  </si>
  <si>
    <t>Oil &amp; air filter, brake fluid flush</t>
  </si>
  <si>
    <t>Dhalla</t>
  </si>
  <si>
    <t>MH-2</t>
  </si>
  <si>
    <t xml:space="preserve">Battery change  </t>
  </si>
  <si>
    <t>Installed new AGM battery</t>
  </si>
  <si>
    <t>Baljit Gugu</t>
  </si>
  <si>
    <t>MH-3</t>
  </si>
  <si>
    <t xml:space="preserve">Brake check  </t>
  </si>
  <si>
    <t>Rear pads worn 70% - flagged for next</t>
  </si>
  <si>
    <t>Manveer Singh</t>
  </si>
  <si>
    <t>MH-4</t>
  </si>
  <si>
    <t xml:space="preserve">Coolant flush  </t>
  </si>
  <si>
    <t>Radiator and hose inspection + coolant replac</t>
  </si>
  <si>
    <t>Ash</t>
  </si>
  <si>
    <t>MH-5</t>
  </si>
  <si>
    <t xml:space="preserve">Hybrid system test  </t>
  </si>
  <si>
    <t>Battery health and inverter diagnostics</t>
  </si>
  <si>
    <t>Saksam</t>
  </si>
  <si>
    <t>MH-6</t>
  </si>
  <si>
    <t xml:space="preserve">Oil change  </t>
  </si>
  <si>
    <t>Synthetic oil + filter</t>
  </si>
  <si>
    <t>Joen</t>
  </si>
  <si>
    <t>MH-7</t>
  </si>
  <si>
    <t xml:space="preserve">Suspension check  </t>
  </si>
  <si>
    <t>Noted bushing wear - monitor next service</t>
  </si>
  <si>
    <t>Smile</t>
  </si>
  <si>
    <t>MH-8</t>
  </si>
  <si>
    <t xml:space="preserve">ECU scan  </t>
  </si>
  <si>
    <t>Cleared fault code P0420</t>
  </si>
  <si>
    <t>MH-9</t>
  </si>
  <si>
    <t xml:space="preserve">Transmission fluid  </t>
  </si>
  <si>
    <t>Replaced with CVT-compatible oil</t>
  </si>
  <si>
    <t>Saksham</t>
  </si>
  <si>
    <t>MH-10</t>
  </si>
  <si>
    <t xml:space="preserve">Engine mount repair  </t>
  </si>
  <si>
    <t>Re-torqued bracket, minor wear noted</t>
  </si>
  <si>
    <t>MH-11</t>
  </si>
  <si>
    <t xml:space="preserve">Manual gearbox flush  </t>
  </si>
  <si>
    <t>Replaced fluid + inspected clutch slave cylin</t>
  </si>
  <si>
    <t>Andres</t>
  </si>
  <si>
    <t>MH-12</t>
  </si>
  <si>
    <t xml:space="preserve">General inspection  </t>
  </si>
  <si>
    <t>New vehicle checkup, no issues found</t>
  </si>
  <si>
    <t>MH-13</t>
  </si>
  <si>
    <t xml:space="preserve">Shock replacement  </t>
  </si>
  <si>
    <t>Rear shocks swapped - Monroe brand installed</t>
  </si>
  <si>
    <t>MH-14</t>
  </si>
  <si>
    <t xml:space="preserve">Transmission flush  </t>
  </si>
  <si>
    <t>CVT system flush and filter replacement</t>
  </si>
  <si>
    <t>MH-15</t>
  </si>
  <si>
    <t xml:space="preserve">Cabin filter replace  </t>
  </si>
  <si>
    <t>Cabin filter swapped with OEM part</t>
  </si>
  <si>
    <t>MH-16</t>
  </si>
  <si>
    <t xml:space="preserve">Firmware update  </t>
  </si>
  <si>
    <t>Tesla Model 3 software updated to v2025.4.2</t>
  </si>
  <si>
    <t>MH-17</t>
  </si>
  <si>
    <t xml:space="preserve">Brake fluid change  </t>
  </si>
  <si>
    <t>DOT 4 fluid used, system flushed</t>
  </si>
  <si>
    <t>MH-18</t>
  </si>
  <si>
    <t xml:space="preserve">Air filter replacement  </t>
  </si>
  <si>
    <t>Air intake filter cleaned + replaced</t>
  </si>
  <si>
    <t>MH-19</t>
  </si>
  <si>
    <t xml:space="preserve">Exhaust leak repair  </t>
  </si>
  <si>
    <t>Replaced gasket + tested emissions</t>
  </si>
  <si>
    <t>MH-20</t>
  </si>
  <si>
    <t>Pre-trip safety check</t>
  </si>
  <si>
    <t>Tires, fluids, wipers, lights - all cleared</t>
  </si>
  <si>
    <t>Job_Sub_ID</t>
  </si>
  <si>
    <t>Job_Sub_Name</t>
  </si>
  <si>
    <t>Job_Name</t>
  </si>
  <si>
    <t>Job_Id</t>
  </si>
  <si>
    <t>Category</t>
  </si>
  <si>
    <t>Standard_Price</t>
  </si>
  <si>
    <t>Labour_Time</t>
  </si>
  <si>
    <t>Standard_Labour_Price</t>
  </si>
  <si>
    <t>may be a part id price and a margin on it</t>
  </si>
  <si>
    <t>JB-S1</t>
  </si>
  <si>
    <t xml:space="preserve">Engine oil change  </t>
  </si>
  <si>
    <t>Minor service</t>
  </si>
  <si>
    <t>JB-1</t>
  </si>
  <si>
    <t>Engine Service</t>
  </si>
  <si>
    <t>JB-2</t>
  </si>
  <si>
    <t xml:space="preserve">Engine tune-up  </t>
  </si>
  <si>
    <t>JB-3</t>
  </si>
  <si>
    <t>JB-4</t>
  </si>
  <si>
    <t xml:space="preserve">Fuel system cleaning  </t>
  </si>
  <si>
    <t>``</t>
  </si>
  <si>
    <t>JB-5</t>
  </si>
  <si>
    <t xml:space="preserve">Spark plug replacement  </t>
  </si>
  <si>
    <t>JB-6</t>
  </si>
  <si>
    <t xml:space="preserve">Battery replacement  </t>
  </si>
  <si>
    <t>Battery and electrical system check</t>
  </si>
  <si>
    <t>Electrical System</t>
  </si>
  <si>
    <t>JB-7</t>
  </si>
  <si>
    <t>Alternator replacement</t>
  </si>
  <si>
    <t>JB-8</t>
  </si>
  <si>
    <t xml:space="preserve">Starter motor replacement  </t>
  </si>
  <si>
    <t>JB-9</t>
  </si>
  <si>
    <t xml:space="preserve">Headlight/bulb replacement  </t>
  </si>
  <si>
    <t>JB-10</t>
  </si>
  <si>
    <t xml:space="preserve">Brake pad replacement  </t>
  </si>
  <si>
    <t>Major service</t>
  </si>
  <si>
    <t>MJ-1</t>
  </si>
  <si>
    <t>Brake System</t>
  </si>
  <si>
    <t>JB-11</t>
  </si>
  <si>
    <t xml:space="preserve">Brake fluid top-up  </t>
  </si>
  <si>
    <t>JB-12</t>
  </si>
  <si>
    <t>Brake rotor resurfacing  / Disc machining</t>
  </si>
  <si>
    <t>JB-13</t>
  </si>
  <si>
    <t xml:space="preserve">Clutch replacement  </t>
  </si>
  <si>
    <t>Transmission System</t>
  </si>
  <si>
    <t>JB-14</t>
  </si>
  <si>
    <t xml:space="preserve">Transmission fluid change  </t>
  </si>
  <si>
    <t>JB-15</t>
  </si>
  <si>
    <t xml:space="preserve">Gearbox diagnosis  </t>
  </si>
  <si>
    <t>JB-16</t>
  </si>
  <si>
    <t xml:space="preserve">Radiator flush &amp; coolant change  </t>
  </si>
  <si>
    <t>Cooling System</t>
  </si>
  <si>
    <t>JB-17</t>
  </si>
  <si>
    <t xml:space="preserve">Thermostat replacement  </t>
  </si>
  <si>
    <t>JB-18</t>
  </si>
  <si>
    <t xml:space="preserve">Fan belt replacement  </t>
  </si>
  <si>
    <t>JB-19</t>
  </si>
  <si>
    <t>Suspension &amp; Steering</t>
  </si>
  <si>
    <t>JB-20</t>
  </si>
  <si>
    <t xml:space="preserve">Shock absorber replacement  </t>
  </si>
  <si>
    <t>JB-21</t>
  </si>
  <si>
    <t xml:space="preserve">Wheel alignment  </t>
  </si>
  <si>
    <t>JB-22</t>
  </si>
  <si>
    <t xml:space="preserve">Tire rotation  </t>
  </si>
  <si>
    <t>Tires &amp; Wheels</t>
  </si>
  <si>
    <t>JB-23</t>
  </si>
  <si>
    <t xml:space="preserve">Tire replacement  </t>
  </si>
  <si>
    <t>JB-24</t>
  </si>
  <si>
    <t xml:space="preserve">Wheel balancing  </t>
  </si>
  <si>
    <t>JB-25</t>
  </si>
  <si>
    <t xml:space="preserve">Exhaust system repair  </t>
  </si>
  <si>
    <t>Exhaust &amp; Emissions</t>
  </si>
  <si>
    <t>JB-26</t>
  </si>
  <si>
    <t xml:space="preserve">Muffler replacement  </t>
  </si>
  <si>
    <t>JB-27</t>
  </si>
  <si>
    <t xml:space="preserve">Emission test  </t>
  </si>
  <si>
    <t>JB-28</t>
  </si>
  <si>
    <t xml:space="preserve">Windscreen replacement  </t>
  </si>
  <si>
    <t>Body &amp; Glass</t>
  </si>
  <si>
    <t>JB-29</t>
  </si>
  <si>
    <t xml:space="preserve">Wiper blade replacement  </t>
  </si>
  <si>
    <t>JB-30</t>
  </si>
  <si>
    <t xml:space="preserve">Interior detailing  </t>
  </si>
  <si>
    <t>General Maintenance</t>
  </si>
  <si>
    <t>JB-31</t>
  </si>
  <si>
    <t xml:space="preserve">Exterior wash &amp; wax  </t>
  </si>
  <si>
    <t>JB-32</t>
  </si>
  <si>
    <t xml:space="preserve">Roadworthy certificate inspection  </t>
  </si>
  <si>
    <t>Safety Inspection</t>
  </si>
  <si>
    <t>JB-33</t>
  </si>
  <si>
    <t>Engine diagnostic scan</t>
  </si>
  <si>
    <t>JB-34</t>
  </si>
  <si>
    <t xml:space="preserve">Pre-purchase vehicle inspection  </t>
  </si>
  <si>
    <t>JB-35</t>
  </si>
  <si>
    <t xml:space="preserve">Fleet service report  </t>
  </si>
  <si>
    <t>Fleet Manage</t>
  </si>
  <si>
    <t>JB-36</t>
  </si>
  <si>
    <t xml:space="preserve">Battery load test  </t>
  </si>
  <si>
    <t>JB-37</t>
  </si>
  <si>
    <t xml:space="preserve">Battery terminal cleaning  </t>
  </si>
  <si>
    <t>JB-38</t>
  </si>
  <si>
    <t xml:space="preserve">Battery cable replacement  </t>
  </si>
  <si>
    <t>JB-39</t>
  </si>
  <si>
    <t xml:space="preserve">Battery system diagnostics  </t>
  </si>
  <si>
    <t>Cooling system service</t>
  </si>
  <si>
    <t>JB-40</t>
  </si>
  <si>
    <t xml:space="preserve">Power steering fluid change  </t>
  </si>
  <si>
    <t>JB-41</t>
  </si>
  <si>
    <t xml:space="preserve">Oil filter replacement  </t>
  </si>
  <si>
    <t>Pre-purchase vehicle inspection</t>
  </si>
  <si>
    <t>JB-42</t>
  </si>
  <si>
    <t xml:space="preserve">Radiator cap replacement  </t>
  </si>
  <si>
    <t>General repair / fault diagnosis</t>
  </si>
  <si>
    <t>JB-43</t>
  </si>
  <si>
    <t xml:space="preserve">Tyre replacement  </t>
  </si>
  <si>
    <t>JB-44</t>
  </si>
  <si>
    <t xml:space="preserve">Horn replacement  </t>
  </si>
  <si>
    <t>JB-45</t>
  </si>
  <si>
    <t xml:space="preserve">Underbody inspection  </t>
  </si>
  <si>
    <t>JB-46</t>
  </si>
  <si>
    <t xml:space="preserve">Fuel filter replacement  </t>
  </si>
  <si>
    <t>JB-47</t>
  </si>
  <si>
    <t xml:space="preserve">Throttle body inspection / cleaning  </t>
  </si>
  <si>
    <t>JB-48</t>
  </si>
  <si>
    <t xml:space="preserve">Timing belt replacement  </t>
  </si>
  <si>
    <t>JB-49</t>
  </si>
  <si>
    <t xml:space="preserve">Suspension component replacement  </t>
  </si>
  <si>
    <t>JB-50</t>
  </si>
  <si>
    <t xml:space="preserve">Transmission oil top-up  </t>
  </si>
  <si>
    <t>JB-51</t>
  </si>
  <si>
    <t xml:space="preserve">Differential oil top-up  </t>
  </si>
  <si>
    <t>JB-52</t>
  </si>
  <si>
    <t xml:space="preserve">Electrical wiring replacement  </t>
  </si>
  <si>
    <t>JB-53</t>
  </si>
  <si>
    <t xml:space="preserve">Tyre wheel rotation / balancing  </t>
  </si>
  <si>
    <t>JB-54</t>
  </si>
  <si>
    <t xml:space="preserve">Fuel tank flushing / cleaning  </t>
  </si>
  <si>
    <t>JB-55</t>
  </si>
  <si>
    <t>Home visit</t>
  </si>
  <si>
    <t>JB-56</t>
  </si>
  <si>
    <t>Auto service</t>
  </si>
  <si>
    <t>JB-57</t>
  </si>
  <si>
    <t>Auto service kit</t>
  </si>
  <si>
    <t>JB-58</t>
  </si>
  <si>
    <t>Brake light replacement</t>
  </si>
  <si>
    <t>JB-59</t>
  </si>
  <si>
    <t xml:space="preserve">Brake oil top-up  </t>
  </si>
  <si>
    <t>JB-60</t>
  </si>
  <si>
    <t>Cabin filter replacement</t>
  </si>
  <si>
    <t>JB-61</t>
  </si>
  <si>
    <t>Engine flush</t>
  </si>
  <si>
    <t>JB-62</t>
  </si>
  <si>
    <t>Fog light replacement</t>
  </si>
  <si>
    <t>JB-63</t>
  </si>
  <si>
    <t>Gearbox mount</t>
  </si>
  <si>
    <t>JB-64</t>
  </si>
  <si>
    <t>Labour</t>
  </si>
  <si>
    <t>JB-65</t>
  </si>
  <si>
    <t>Logbook service</t>
  </si>
  <si>
    <t>JB-66</t>
  </si>
  <si>
    <t>Manual transmission</t>
  </si>
  <si>
    <t>JB-67</t>
  </si>
  <si>
    <t>N/S/F headlight</t>
  </si>
  <si>
    <t>JB-68</t>
  </si>
  <si>
    <t>N/S/F park light</t>
  </si>
  <si>
    <t>JB-69</t>
  </si>
  <si>
    <t>N/S/R brake light</t>
  </si>
  <si>
    <t>JB-70</t>
  </si>
  <si>
    <t>N/S/R park light</t>
  </si>
  <si>
    <t>JB-71</t>
  </si>
  <si>
    <t>O/S/F headlight</t>
  </si>
  <si>
    <t>JB-72</t>
  </si>
  <si>
    <t>O/S/F park light</t>
  </si>
  <si>
    <t>JB-73</t>
  </si>
  <si>
    <t>O/S/R brakes</t>
  </si>
  <si>
    <t>JB-74</t>
  </si>
  <si>
    <t>O/S/R park light</t>
  </si>
  <si>
    <t>JB-75</t>
  </si>
  <si>
    <t>Pinkslip</t>
  </si>
  <si>
    <t>JB-76</t>
  </si>
  <si>
    <t>Pump steering pump o-ring</t>
  </si>
  <si>
    <t>JB-77</t>
  </si>
  <si>
    <t>Puncher repair</t>
  </si>
  <si>
    <t>JB-78</t>
  </si>
  <si>
    <t>Radiator replacement</t>
  </si>
  <si>
    <t>JB-79</t>
  </si>
  <si>
    <t>Rocker gasket replacement</t>
  </si>
  <si>
    <t>Special major service</t>
  </si>
  <si>
    <t>JB-80</t>
  </si>
  <si>
    <t>Steering air bag replacement</t>
  </si>
  <si>
    <t>JB-81</t>
  </si>
  <si>
    <t>Steering key barer replacement</t>
  </si>
  <si>
    <t>JB-82</t>
  </si>
  <si>
    <t>Steering rack boot replacement</t>
  </si>
  <si>
    <t>JB-83</t>
  </si>
  <si>
    <t>Sump gasket replacement</t>
  </si>
  <si>
    <t>JB-84</t>
  </si>
  <si>
    <t>Thermostat replacement</t>
  </si>
  <si>
    <t>JB-85</t>
  </si>
  <si>
    <t>Top engine mount replacement</t>
  </si>
  <si>
    <t>JB-86</t>
  </si>
  <si>
    <t>Tube seals replacement</t>
  </si>
  <si>
    <t>JB-87</t>
  </si>
  <si>
    <t>Water pump replacement</t>
  </si>
  <si>
    <t>JB-88</t>
  </si>
  <si>
    <t>25 point check</t>
  </si>
  <si>
    <t>JB-89</t>
  </si>
  <si>
    <t>Drive belt pulleys replacement</t>
  </si>
  <si>
    <t>JB-90</t>
  </si>
  <si>
    <t>Tensioner starting systems replacement</t>
  </si>
  <si>
    <t>JB-91</t>
  </si>
  <si>
    <t>Wheel bearing replacement</t>
  </si>
  <si>
    <t>Part_ID</t>
  </si>
  <si>
    <t>Item_Name</t>
  </si>
  <si>
    <t>Unit_Of_Measure</t>
  </si>
  <si>
    <t>Unit_Price</t>
  </si>
  <si>
    <t>GST_Rate</t>
  </si>
  <si>
    <t>Price_Incl_GST</t>
  </si>
  <si>
    <t>Quantity_In_Stock</t>
  </si>
  <si>
    <t>Total_Stock_Value</t>
  </si>
  <si>
    <t>Reorder_Level</t>
  </si>
  <si>
    <t>Supplier_ID</t>
  </si>
  <si>
    <t>Supplier_Name</t>
  </si>
  <si>
    <t>Last_Ordered</t>
  </si>
  <si>
    <t>Lead_Time</t>
  </si>
  <si>
    <t>Barcode_SKU</t>
  </si>
  <si>
    <t>Notes</t>
  </si>
  <si>
    <t>PT-1</t>
  </si>
  <si>
    <t>Engine oil - 10W-40 semisynthetic - Penrite 5L</t>
  </si>
  <si>
    <t>PT-2</t>
  </si>
  <si>
    <t>Engine oil - 10W-40 fully synthetic - Penrite 6L</t>
  </si>
  <si>
    <t>PT-3</t>
  </si>
  <si>
    <t>Tyre - 205/55R16</t>
  </si>
  <si>
    <t>PT-4</t>
  </si>
  <si>
    <t>PT-5</t>
  </si>
  <si>
    <t>Tyre - 215/60R16</t>
  </si>
  <si>
    <t>PT-6</t>
  </si>
  <si>
    <t>6mm</t>
  </si>
  <si>
    <t>PT-7</t>
  </si>
  <si>
    <t>8mm</t>
  </si>
  <si>
    <t>PT-8</t>
  </si>
  <si>
    <t>Air filter - A1215</t>
  </si>
  <si>
    <t>Filters</t>
  </si>
  <si>
    <t>PT-9</t>
  </si>
  <si>
    <t>Air filter - A1236</t>
  </si>
  <si>
    <t>PT-10</t>
  </si>
  <si>
    <t>Air filter - A1273</t>
  </si>
  <si>
    <t>PT-11</t>
  </si>
  <si>
    <t>Air filter - A1289</t>
  </si>
  <si>
    <t>PT-12</t>
  </si>
  <si>
    <t>Air filter - A1311</t>
  </si>
  <si>
    <t>PT-13</t>
  </si>
  <si>
    <t>Air filter - A1348</t>
  </si>
  <si>
    <t>PT-14</t>
  </si>
  <si>
    <t>Air filter - A1433</t>
  </si>
  <si>
    <t>PT-15</t>
  </si>
  <si>
    <t>Air filter - A1481</t>
  </si>
  <si>
    <t>PT-16</t>
  </si>
  <si>
    <t>Air filter - A1489</t>
  </si>
  <si>
    <t>PT-17</t>
  </si>
  <si>
    <t>Air filter - A1491</t>
  </si>
  <si>
    <t>PT-18</t>
  </si>
  <si>
    <t>Air filter - A1496</t>
  </si>
  <si>
    <t>PT-19</t>
  </si>
  <si>
    <t>Air filter - A1508</t>
  </si>
  <si>
    <t>PT-20</t>
  </si>
  <si>
    <t>Air filter - A1523</t>
  </si>
  <si>
    <t>PT-21</t>
  </si>
  <si>
    <t>Air filter - A1524</t>
  </si>
  <si>
    <t>PT-22</t>
  </si>
  <si>
    <t>Air filter - A1557</t>
  </si>
  <si>
    <t>PT-23</t>
  </si>
  <si>
    <t>Air filter - A1558</t>
  </si>
  <si>
    <t>PT-24</t>
  </si>
  <si>
    <t>Air filter - A1559</t>
  </si>
  <si>
    <t>PT-25</t>
  </si>
  <si>
    <t>Air filter - A1561</t>
  </si>
  <si>
    <t>PT-26</t>
  </si>
  <si>
    <t>Air filter - A1569</t>
  </si>
  <si>
    <t>PT-27</t>
  </si>
  <si>
    <t>Air filter - A1570</t>
  </si>
  <si>
    <t>PT-28</t>
  </si>
  <si>
    <t>Air filter - A1575</t>
  </si>
  <si>
    <t>PT-29</t>
  </si>
  <si>
    <t>Air filter - A1578</t>
  </si>
  <si>
    <t>PT-30</t>
  </si>
  <si>
    <t>Air filter - A1582</t>
  </si>
  <si>
    <t>PT-31</t>
  </si>
  <si>
    <t>Air filter - A1591</t>
  </si>
  <si>
    <t>PT-32</t>
  </si>
  <si>
    <t>Air filter - A1597</t>
  </si>
  <si>
    <t>PT-33</t>
  </si>
  <si>
    <t>Air filter - A1629</t>
  </si>
  <si>
    <t>PT-34</t>
  </si>
  <si>
    <t>Air filter - A1632</t>
  </si>
  <si>
    <t>PT-35</t>
  </si>
  <si>
    <t>Air filter - A1636</t>
  </si>
  <si>
    <t>PT-36</t>
  </si>
  <si>
    <t>Air filter - A1727</t>
  </si>
  <si>
    <t>PT-37</t>
  </si>
  <si>
    <t>Air filter - A1730</t>
  </si>
  <si>
    <t>PT-38</t>
  </si>
  <si>
    <t>Air filter - A1746</t>
  </si>
  <si>
    <t>PT-39</t>
  </si>
  <si>
    <t>A/C belt 4pk855</t>
  </si>
  <si>
    <t>PT-40</t>
  </si>
  <si>
    <t>Air filter - Toyota Corolla</t>
  </si>
  <si>
    <t>PT-41</t>
  </si>
  <si>
    <t>Penrite ATF FS fluid</t>
  </si>
  <si>
    <t>PT-42</t>
  </si>
  <si>
    <t>Bendix brakes??</t>
  </si>
  <si>
    <t>PT-43</t>
  </si>
  <si>
    <t>BETTRI SMFNS40ZALX</t>
  </si>
  <si>
    <t>PT-44</t>
  </si>
  <si>
    <t>BETTRI SMSFNS40ZLX</t>
  </si>
  <si>
    <t>PT-45</t>
  </si>
  <si>
    <t>Car Battery NS40ZL SMF</t>
  </si>
  <si>
    <t>PT-46</t>
  </si>
  <si>
    <t>Brake Lights</t>
  </si>
  <si>
    <t>PT-47</t>
  </si>
  <si>
    <t>COMPLEMENT</t>
  </si>
  <si>
    <t>PT-48</t>
  </si>
  <si>
    <t>CV drive shaft replacement</t>
  </si>
  <si>
    <t>PT-49</t>
  </si>
  <si>
    <t>Bendix CT brake pad set - DB1429</t>
  </si>
  <si>
    <t>PT-50</t>
  </si>
  <si>
    <t>Dummy</t>
  </si>
  <si>
    <t>PT-51</t>
  </si>
  <si>
    <t>Engine oil 5W/30 fully synthetic</t>
  </si>
  <si>
    <t>PT-52</t>
  </si>
  <si>
    <t>Engine wash</t>
  </si>
  <si>
    <t>PT-53</t>
  </si>
  <si>
    <t>Fan Belts - Holden Commodore VT</t>
  </si>
  <si>
    <t>PT-54</t>
  </si>
  <si>
    <t>Engine oil 5W-30 fully synthetic - Penrite 6L</t>
  </si>
  <si>
    <t>PT-55</t>
  </si>
  <si>
    <t>Gear oil 80W-90 - Penrite</t>
  </si>
  <si>
    <t>PT-56</t>
  </si>
  <si>
    <t>GENUINE PARTS</t>
  </si>
  <si>
    <t>PT-57</t>
  </si>
  <si>
    <t>Air Filter - Honda</t>
  </si>
  <si>
    <t>PT-58</t>
  </si>
  <si>
    <t>Intake maniford gaskets</t>
  </si>
  <si>
    <t>PT-59</t>
  </si>
  <si>
    <t>Machining</t>
  </si>
  <si>
    <t>PT-60</t>
  </si>
  <si>
    <t>New NPN</t>
  </si>
  <si>
    <t>PT-61</t>
  </si>
  <si>
    <t>Penrite</t>
  </si>
  <si>
    <t>PT-62</t>
  </si>
  <si>
    <t>Engine oil - 0W-20 fully synthetic - Penrite 5L</t>
  </si>
  <si>
    <t>PT-63</t>
  </si>
  <si>
    <t>Engine oil - Enviro 5W-30 fully synthetic - Penrite 5L</t>
  </si>
  <si>
    <t>PT-64</t>
  </si>
  <si>
    <t>Platinum spark plug</t>
  </si>
  <si>
    <t>PT-65</t>
  </si>
  <si>
    <t>Oil Filter - R2605P</t>
  </si>
  <si>
    <t>PT-66</t>
  </si>
  <si>
    <t>Oil Filter - R2606P</t>
  </si>
  <si>
    <t>PT-67</t>
  </si>
  <si>
    <t>Oil Filter - R2648</t>
  </si>
  <si>
    <t>PT-68</t>
  </si>
  <si>
    <t>Resistance meter - RCA0040</t>
  </si>
  <si>
    <t>PT-69</t>
  </si>
  <si>
    <t>Rear pad</t>
  </si>
  <si>
    <t>PT-70</t>
  </si>
  <si>
    <t xml:space="preserve">Front pad - Renault x62 </t>
  </si>
  <si>
    <t>PT-71</t>
  </si>
  <si>
    <t>Rearpad - Renault x62</t>
  </si>
  <si>
    <t>PT-72</t>
  </si>
  <si>
    <t xml:space="preserve">Rocker cover gasket </t>
  </si>
  <si>
    <t>PT-73</t>
  </si>
  <si>
    <t>Drive belts pulley</t>
  </si>
  <si>
    <t>PT-74</t>
  </si>
  <si>
    <t>Tensioner starting system</t>
  </si>
  <si>
    <t>PT-75</t>
  </si>
  <si>
    <t>SA1582</t>
  </si>
  <si>
    <t>PT-76</t>
  </si>
  <si>
    <t>Damper front right - Forester 97-02 SA1582</t>
  </si>
  <si>
    <t>PT-77</t>
  </si>
  <si>
    <t>Spark plug - 3924</t>
  </si>
  <si>
    <t>PT-78</t>
  </si>
  <si>
    <t>Spark Plug - 605</t>
  </si>
  <si>
    <t>PT-79</t>
  </si>
  <si>
    <t>Spark plug - Holden Commodore VE</t>
  </si>
  <si>
    <t>PT-80</t>
  </si>
  <si>
    <t>Timing pulley - T10</t>
  </si>
  <si>
    <t>PT-81</t>
  </si>
  <si>
    <t>Tyre - 195/60R15</t>
  </si>
  <si>
    <t>PT-82</t>
  </si>
  <si>
    <t>Valley cover gasket  - Holden Commodore VT</t>
  </si>
  <si>
    <t>PT-83</t>
  </si>
  <si>
    <t>Wheel bearing</t>
  </si>
  <si>
    <t>PT-84</t>
  </si>
  <si>
    <t>Oil Filter - Z145A</t>
  </si>
  <si>
    <t>PT-85</t>
  </si>
  <si>
    <t>Oil Filter - Z386</t>
  </si>
  <si>
    <t>PT-86</t>
  </si>
  <si>
    <t>Oil Filter - Z411</t>
  </si>
  <si>
    <t>PT-87</t>
  </si>
  <si>
    <t>Oil Filter - Z429</t>
  </si>
  <si>
    <t>PT-88</t>
  </si>
  <si>
    <t>Oil Filter - Z432</t>
  </si>
  <si>
    <t>PT-89</t>
  </si>
  <si>
    <t>Oil Filter - Z436</t>
  </si>
  <si>
    <t>PT-90</t>
  </si>
  <si>
    <t>Oil Filter - Z445</t>
  </si>
  <si>
    <t>PT-91</t>
  </si>
  <si>
    <t>Oil Filter - Z456</t>
  </si>
  <si>
    <t>PT-92</t>
  </si>
  <si>
    <t>Oil Filter - Z516</t>
  </si>
  <si>
    <t>PT-93</t>
  </si>
  <si>
    <t>Oil Filter - Z547</t>
  </si>
  <si>
    <t>PT-94</t>
  </si>
  <si>
    <t>Oil Filter - Z632</t>
  </si>
  <si>
    <t>PT-95</t>
  </si>
  <si>
    <t>Oil Filter - Z79</t>
  </si>
  <si>
    <t>PT-96</t>
  </si>
  <si>
    <t>Engine oil 5L</t>
  </si>
  <si>
    <t>Fluids &amp; Lubricants</t>
  </si>
  <si>
    <t>L</t>
  </si>
  <si>
    <t>SP-1</t>
  </si>
  <si>
    <t xml:space="preserve">ABC </t>
  </si>
  <si>
    <t>PT-97</t>
  </si>
  <si>
    <t xml:space="preserve">Transmission fluid </t>
  </si>
  <si>
    <t>PT-98</t>
  </si>
  <si>
    <t>Differential oil</t>
  </si>
  <si>
    <t>PT-99</t>
  </si>
  <si>
    <t>Brake fluid</t>
  </si>
  <si>
    <t>PT-100</t>
  </si>
  <si>
    <t xml:space="preserve">Coolant </t>
  </si>
  <si>
    <t>PT-101</t>
  </si>
  <si>
    <t xml:space="preserve">Power steering fluid </t>
  </si>
  <si>
    <t>PT-102</t>
  </si>
  <si>
    <t>Washer fluid</t>
  </si>
  <si>
    <t>PT-103</t>
  </si>
  <si>
    <t>Oil filter</t>
  </si>
  <si>
    <t>PT-104</t>
  </si>
  <si>
    <t>Air filter</t>
  </si>
  <si>
    <t>PT-105</t>
  </si>
  <si>
    <t>Fuel filter (petrol/diesel)</t>
  </si>
  <si>
    <t>PT-106</t>
  </si>
  <si>
    <t>Cabin (pollen) filter</t>
  </si>
  <si>
    <t>PT-107</t>
  </si>
  <si>
    <t xml:space="preserve">Transmission filter </t>
  </si>
  <si>
    <t>PT-108</t>
  </si>
  <si>
    <t>Spark plugs</t>
  </si>
  <si>
    <t>Engine Service Parts</t>
  </si>
  <si>
    <t>PT-109</t>
  </si>
  <si>
    <t>Timing belt</t>
  </si>
  <si>
    <t>PT-110</t>
  </si>
  <si>
    <t xml:space="preserve">Drive belts </t>
  </si>
  <si>
    <t>PT-111</t>
  </si>
  <si>
    <t xml:space="preserve">Throttle body cleaner </t>
  </si>
  <si>
    <t>PT-112</t>
  </si>
  <si>
    <t xml:space="preserve">Engine mount </t>
  </si>
  <si>
    <t>PT-113</t>
  </si>
  <si>
    <t>Brake pads</t>
  </si>
  <si>
    <t>Brake &amp; Suspension Components</t>
  </si>
  <si>
    <t>PT-114</t>
  </si>
  <si>
    <t xml:space="preserve">Brake shoes </t>
  </si>
  <si>
    <t>PT-115</t>
  </si>
  <si>
    <t>Brake discs (rotors)</t>
  </si>
  <si>
    <t>PT-116</t>
  </si>
  <si>
    <t>Brake lines/hoses</t>
  </si>
  <si>
    <t>PT-117</t>
  </si>
  <si>
    <t>Caliper seals/boots</t>
  </si>
  <si>
    <t>PT-118</t>
  </si>
  <si>
    <t>Suspension bushes (control arm, stabiliser)</t>
  </si>
  <si>
    <t>PT-119</t>
  </si>
  <si>
    <t>Shock absorbers/struts</t>
  </si>
  <si>
    <t>PT-120</t>
  </si>
  <si>
    <t>Coil springs</t>
  </si>
  <si>
    <t>PT-121</t>
  </si>
  <si>
    <t>Battery - Option A</t>
  </si>
  <si>
    <t>Electrical System Parts</t>
  </si>
  <si>
    <t>PT-122</t>
  </si>
  <si>
    <t>Battery - Option B</t>
  </si>
  <si>
    <t>PT-123</t>
  </si>
  <si>
    <t xml:space="preserve">Battery - Option C </t>
  </si>
  <si>
    <t>PT-124</t>
  </si>
  <si>
    <t>Battery - Option D</t>
  </si>
  <si>
    <t>PT-125</t>
  </si>
  <si>
    <t>Battery terminals</t>
  </si>
  <si>
    <t>PT-126</t>
  </si>
  <si>
    <t>Alternator</t>
  </si>
  <si>
    <t>PT-127</t>
  </si>
  <si>
    <t>Starter motor</t>
  </si>
  <si>
    <t>PT-128</t>
  </si>
  <si>
    <t>Fuses &amp; relays</t>
  </si>
  <si>
    <t>PT-129</t>
  </si>
  <si>
    <t>Bulbs (headlights, indicators, interior, etc.)</t>
  </si>
  <si>
    <t>PT-130</t>
  </si>
  <si>
    <t>Wiper blades</t>
  </si>
  <si>
    <t>PT-131</t>
  </si>
  <si>
    <t>Horn</t>
  </si>
  <si>
    <t>PT-132</t>
  </si>
  <si>
    <t>Sensors (e.g., oxygen sensor, coolant temp sensor)</t>
  </si>
  <si>
    <t>PT-133</t>
  </si>
  <si>
    <t>Radiator</t>
  </si>
  <si>
    <t>Cooling System Parts</t>
  </si>
  <si>
    <t>PT-134</t>
  </si>
  <si>
    <t>Radiator hoses</t>
  </si>
  <si>
    <t>PT-135</t>
  </si>
  <si>
    <t>Radiator cap</t>
  </si>
  <si>
    <t>PT-136</t>
  </si>
  <si>
    <t>Thermostat</t>
  </si>
  <si>
    <t>PT-137</t>
  </si>
  <si>
    <t>Water pump</t>
  </si>
  <si>
    <t>PT-138</t>
  </si>
  <si>
    <t>Heater core (for cabin heating issues)</t>
  </si>
  <si>
    <t>PT-139</t>
  </si>
  <si>
    <t>AC gas (R134a or R1234yf)</t>
  </si>
  <si>
    <t>HVAC / Interior Comfort</t>
  </si>
  <si>
    <t>PT-140</t>
  </si>
  <si>
    <t xml:space="preserve">AC compressor </t>
  </si>
  <si>
    <t>PT-141</t>
  </si>
  <si>
    <t>AC condenser/fan</t>
  </si>
  <si>
    <t>PT-142</t>
  </si>
  <si>
    <t>Tyres</t>
  </si>
  <si>
    <t>General Vehicle Components</t>
  </si>
  <si>
    <t>PT-143</t>
  </si>
  <si>
    <t>Wheel nuts/bolts M6 × 1.0</t>
  </si>
  <si>
    <t>PT-144</t>
  </si>
  <si>
    <t>Wheel nuts/bolts M8 × 1.25</t>
  </si>
  <si>
    <t>M6 × 1.0</t>
  </si>
  <si>
    <t>Engine covers, undertrays</t>
  </si>
  <si>
    <t>PT-145</t>
  </si>
  <si>
    <t>Wheel nuts/bolts M10 × 1.5</t>
  </si>
  <si>
    <t>M8 × 1.25</t>
  </si>
  <si>
    <t>Suspension brackets, mounts</t>
  </si>
  <si>
    <t>PT-146</t>
  </si>
  <si>
    <t>Wheel nuts/bolts M12 × 1.5</t>
  </si>
  <si>
    <t>M10 × 1.5</t>
  </si>
  <si>
    <t>Calipers, chassis mounts</t>
  </si>
  <si>
    <t>PT-147</t>
  </si>
  <si>
    <t>Wheel nuts/bolts M14 × 1.5</t>
  </si>
  <si>
    <t>M12 × 1.5</t>
  </si>
  <si>
    <t>Driveshaft, subframe</t>
  </si>
  <si>
    <t>PT-148</t>
  </si>
  <si>
    <t>Flat washers M6</t>
  </si>
  <si>
    <t>M14 × 1.5</t>
  </si>
  <si>
    <t>PT-149</t>
  </si>
  <si>
    <t>Flat washers M8</t>
  </si>
  <si>
    <t>PT-150</t>
  </si>
  <si>
    <t>Flat washers M10</t>
  </si>
  <si>
    <t>PT-151</t>
  </si>
  <si>
    <t>Flat washers M12</t>
  </si>
  <si>
    <t>PT-152</t>
  </si>
  <si>
    <t>Flat washers M14</t>
  </si>
  <si>
    <t>PT-153</t>
  </si>
  <si>
    <t>Spring (lock) washers</t>
  </si>
  <si>
    <t>PT-154</t>
  </si>
  <si>
    <t>Split washers</t>
  </si>
  <si>
    <t>PT-155</t>
  </si>
  <si>
    <t>Fender washers</t>
  </si>
  <si>
    <t>PT-156</t>
  </si>
  <si>
    <t>Nylon and fibre washers</t>
  </si>
  <si>
    <t>PT-157</t>
  </si>
  <si>
    <t>Hose Clamps</t>
  </si>
  <si>
    <t>PT-158</t>
  </si>
  <si>
    <t>Windscreen washer nozzles</t>
  </si>
  <si>
    <t>PT-159</t>
  </si>
  <si>
    <t>Door handles/locks</t>
  </si>
  <si>
    <t>PT-160</t>
  </si>
  <si>
    <t>Mirrors (side, rearview)</t>
  </si>
  <si>
    <t>PT-161</t>
  </si>
  <si>
    <t>Light housings</t>
  </si>
  <si>
    <t>PT-162</t>
  </si>
  <si>
    <t>Diagnostic tools</t>
  </si>
  <si>
    <t>PT-163</t>
  </si>
  <si>
    <t xml:space="preserve">Grease </t>
  </si>
  <si>
    <t>Miscellaneous / Consumables</t>
  </si>
  <si>
    <t>PT-164</t>
  </si>
  <si>
    <t xml:space="preserve">Thread locker </t>
  </si>
  <si>
    <t>PT-165</t>
  </si>
  <si>
    <t>Electrical tape and connectors</t>
  </si>
  <si>
    <t>PT-166</t>
  </si>
  <si>
    <t>Engine degreaser</t>
  </si>
  <si>
    <t>PT-167</t>
  </si>
  <si>
    <t>Brake cleaner</t>
  </si>
  <si>
    <t>PT-168</t>
  </si>
  <si>
    <t>Gasket sealant</t>
  </si>
  <si>
    <t>PT-169</t>
  </si>
  <si>
    <t>Zip ties</t>
  </si>
  <si>
    <t>PT-170</t>
  </si>
  <si>
    <t>Workshop gloves</t>
  </si>
  <si>
    <t>PT-171</t>
  </si>
  <si>
    <t>Fasteners</t>
  </si>
  <si>
    <t>PT-172</t>
  </si>
  <si>
    <t>Clips</t>
  </si>
  <si>
    <t>PT-173</t>
  </si>
  <si>
    <t>Wipes</t>
  </si>
  <si>
    <t>PT-174</t>
  </si>
  <si>
    <t>Tube seals</t>
  </si>
  <si>
    <t>PT-175</t>
  </si>
  <si>
    <t>Sump gasket</t>
  </si>
  <si>
    <t>PT-176</t>
  </si>
  <si>
    <t>Steering airbag</t>
  </si>
  <si>
    <t>PT-177</t>
  </si>
  <si>
    <t>PT-178</t>
  </si>
  <si>
    <t>Fog light</t>
  </si>
  <si>
    <t>Mechanic_ID</t>
  </si>
  <si>
    <t>Name</t>
  </si>
  <si>
    <t>Specialty</t>
  </si>
  <si>
    <t>Certifications</t>
  </si>
  <si>
    <t>Availability Days</t>
  </si>
  <si>
    <t>Availability Time</t>
  </si>
  <si>
    <t>MC-1</t>
  </si>
  <si>
    <t>Emma Clarke</t>
  </si>
  <si>
    <t>Electrical Systems</t>
  </si>
  <si>
    <t>ASE Certified</t>
  </si>
  <si>
    <t>Mon–Fri</t>
  </si>
  <si>
    <t>9am–5pm</t>
  </si>
  <si>
    <t>Invoice_ID</t>
  </si>
  <si>
    <t>Amount_Ex_GST</t>
  </si>
  <si>
    <t>GST_Amount</t>
  </si>
  <si>
    <t>Amount_Inc_GST</t>
  </si>
  <si>
    <t>Discount_Amount</t>
  </si>
  <si>
    <t>Final_Amount</t>
  </si>
  <si>
    <t>Service_Description</t>
  </si>
  <si>
    <t>Created_By</t>
  </si>
  <si>
    <t>Payment_Status</t>
  </si>
  <si>
    <t>Payment_Method</t>
  </si>
  <si>
    <t>Invoice_Date</t>
  </si>
  <si>
    <t>Due_Date</t>
  </si>
  <si>
    <t>Generate_Pdf</t>
  </si>
  <si>
    <t>INV-C-1</t>
  </si>
  <si>
    <t>Sam Wilson</t>
  </si>
  <si>
    <t>XXXXXX</t>
  </si>
  <si>
    <t>Text to explain the service</t>
  </si>
  <si>
    <t>Paid</t>
  </si>
  <si>
    <t>Credit Card</t>
  </si>
  <si>
    <t>Button</t>
  </si>
  <si>
    <t>Free Text for next service</t>
  </si>
  <si>
    <t>INV-C-2</t>
  </si>
  <si>
    <t>Unpaid</t>
  </si>
  <si>
    <t>Cash</t>
  </si>
  <si>
    <t>INV-C-3</t>
  </si>
  <si>
    <t>Overdue</t>
  </si>
  <si>
    <t>Pay Id</t>
  </si>
  <si>
    <t>INV-C-4</t>
  </si>
  <si>
    <t>Direct Debit</t>
  </si>
  <si>
    <t>INV-C-5</t>
  </si>
  <si>
    <t>Linked_PO_ID</t>
  </si>
  <si>
    <t>Invoice_Type</t>
  </si>
  <si>
    <t>INV-1</t>
  </si>
  <si>
    <t>Outgoing</t>
  </si>
  <si>
    <t>INV-2</t>
  </si>
  <si>
    <t>ABC</t>
  </si>
  <si>
    <t>PO-1</t>
  </si>
  <si>
    <t>Incoming</t>
  </si>
  <si>
    <t>Payment_ID</t>
  </si>
  <si>
    <t>Payment_Date</t>
  </si>
  <si>
    <t>PAY-1</t>
  </si>
  <si>
    <t>INV-S1</t>
  </si>
  <si>
    <t>Free text</t>
  </si>
  <si>
    <t>BPay</t>
  </si>
  <si>
    <t>Contact</t>
  </si>
  <si>
    <t>Email</t>
  </si>
  <si>
    <t>ABN</t>
  </si>
  <si>
    <t>Order_Method</t>
  </si>
  <si>
    <t>Recent_Purchase</t>
  </si>
  <si>
    <t>Delivery_Due</t>
  </si>
  <si>
    <t>AutoParts Co.</t>
  </si>
  <si>
    <t>+61 2 1234 7890</t>
  </si>
  <si>
    <t>supply@autopartsco.com</t>
  </si>
  <si>
    <t>Brake Pad Set</t>
  </si>
  <si>
    <t>Phone</t>
  </si>
  <si>
    <t xml:space="preserve">Online </t>
  </si>
  <si>
    <t>Transaction_ID</t>
  </si>
  <si>
    <t>Transaction_Date</t>
  </si>
  <si>
    <t>Entity_Type</t>
  </si>
  <si>
    <t>Entity_ID</t>
  </si>
  <si>
    <t>Entity_Name</t>
  </si>
  <si>
    <t>Transaction_Type</t>
  </si>
  <si>
    <t>Direction</t>
  </si>
  <si>
    <t>Related_ID</t>
  </si>
  <si>
    <t>Entered_By</t>
  </si>
  <si>
    <t>TXN-202506-0001</t>
  </si>
  <si>
    <t>Customer</t>
  </si>
  <si>
    <t>Invoice</t>
  </si>
  <si>
    <t>Payment</t>
  </si>
  <si>
    <t>INV-S-1</t>
  </si>
  <si>
    <t>Refund</t>
  </si>
  <si>
    <t>Appointment_ID</t>
  </si>
  <si>
    <t>Time</t>
  </si>
  <si>
    <t>Services_Requested</t>
  </si>
  <si>
    <t>Technician</t>
  </si>
  <si>
    <t>Status</t>
  </si>
  <si>
    <t>APT-1</t>
  </si>
  <si>
    <t>Oil Change, Brake Inspection</t>
  </si>
  <si>
    <t>Tim Reynolds</t>
  </si>
  <si>
    <t>Scheduled</t>
  </si>
  <si>
    <t>Avg_Service_Turnaround</t>
  </si>
  <si>
    <t>Monthly_Revenue</t>
  </si>
  <si>
    <t>Repeat_Clients (%)</t>
  </si>
  <si>
    <t>Most Common Service</t>
  </si>
  <si>
    <t>2.4 Days</t>
  </si>
  <si>
    <t>Oil Change</t>
  </si>
  <si>
    <t>Workshop_ID</t>
  </si>
  <si>
    <t>Location</t>
  </si>
  <si>
    <t>Contact_No</t>
  </si>
  <si>
    <t>Hours</t>
  </si>
  <si>
    <t>Main_Technicians</t>
  </si>
  <si>
    <t>WS-1</t>
  </si>
  <si>
    <t>Metro Auto Repairs</t>
  </si>
  <si>
    <t>Sydney, NSW</t>
  </si>
  <si>
    <t>+61 2 9876 5432</t>
  </si>
  <si>
    <t>Mon-Fri: 7:30 AM – 5 PM</t>
  </si>
  <si>
    <t>Tim Reynolds, Lara Knight</t>
  </si>
  <si>
    <t>WS-2</t>
  </si>
  <si>
    <t>Coastal Car Clinic</t>
  </si>
  <si>
    <t>Bondi Junction, NSW</t>
  </si>
  <si>
    <t>+61 2 1234 5678</t>
  </si>
  <si>
    <t>Mon-Sat: 8 AM – 4 PM</t>
  </si>
  <si>
    <t>Alex Monroe, David T</t>
  </si>
  <si>
    <t>Time Spent</t>
  </si>
  <si>
    <t>SC</t>
  </si>
  <si>
    <t>21/6/2025</t>
  </si>
  <si>
    <t>22/6/2025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</si>
</sst>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;[Red]\-&quot;$&quot;#,##0.00"/>
    <numFmt numFmtId="166" formatCode="&quot;$&quot;#,##0.0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" fontId="0" fillId="0" borderId="0" xfId="0" applyNumberFormat="1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left" vertical="center" wrapText="1"/>
    </xf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7" fillId="0" borderId="0" xfId="0" applyFont="1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rah.m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34BE-3514-4679-BBBD-C0A20619BFC9}">
  <dimension ref="A1:T348"/>
  <sheetViews>
    <sheetView topLeftCell="G1" zoomScale="85" zoomScaleNormal="85" workbookViewId="0">
      <selection activeCell="F12" sqref="F12"/>
    </sheetView>
  </sheetViews>
  <sheetFormatPr defaultRowHeight="15" customHeight="1"/>
  <cols>
    <col min="1" max="1" width="11.140625" bestFit="1" customWidth="1"/>
    <col min="2" max="2" width="9.7109375" bestFit="1" customWidth="1"/>
    <col min="3" max="3" width="26.85546875" bestFit="1" customWidth="1"/>
    <col min="4" max="4" width="15.140625" bestFit="1" customWidth="1"/>
    <col min="5" max="5" width="20.85546875" bestFit="1" customWidth="1"/>
    <col min="6" max="6" width="32.140625" bestFit="1" customWidth="1"/>
    <col min="7" max="7" width="32.140625" customWidth="1"/>
    <col min="8" max="8" width="14.28515625" bestFit="1" customWidth="1"/>
    <col min="9" max="9" width="15" bestFit="1" customWidth="1"/>
    <col min="10" max="10" width="13.5703125" bestFit="1" customWidth="1"/>
    <col min="11" max="11" width="14.28515625" bestFit="1" customWidth="1"/>
    <col min="12" max="12" width="26.28515625" bestFit="1" customWidth="1"/>
    <col min="13" max="13" width="6.140625" bestFit="1" customWidth="1"/>
    <col min="14" max="14" width="11.140625" bestFit="1" customWidth="1"/>
    <col min="15" max="15" width="13.85546875" bestFit="1" customWidth="1"/>
    <col min="16" max="16" width="12.28515625" bestFit="1" customWidth="1"/>
    <col min="17" max="17" width="19.140625" bestFit="1" customWidth="1"/>
    <col min="18" max="18" width="18.7109375" bestFit="1" customWidth="1"/>
    <col min="19" max="19" width="18.28515625" bestFit="1" customWidth="1"/>
    <col min="20" max="20" width="17.42578125" bestFit="1" customWidth="1"/>
  </cols>
  <sheetData>
    <row r="1" spans="1:20" s="9" customForma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</row>
    <row r="2" spans="1:20" s="48" customFormat="1" ht="43.5">
      <c r="A2" s="44" t="s">
        <v>20</v>
      </c>
      <c r="B2" s="44" t="s">
        <v>21</v>
      </c>
      <c r="C2" s="44" t="s">
        <v>22</v>
      </c>
      <c r="D2" s="44" t="s">
        <v>23</v>
      </c>
      <c r="E2" s="45" t="s">
        <v>24</v>
      </c>
      <c r="F2" s="44" t="s">
        <v>25</v>
      </c>
      <c r="G2" s="44" t="s">
        <v>26</v>
      </c>
      <c r="H2" s="44" t="s">
        <v>27</v>
      </c>
      <c r="I2" s="44" t="s">
        <v>28</v>
      </c>
      <c r="J2" s="44">
        <v>2017</v>
      </c>
      <c r="K2" s="44" t="s">
        <v>29</v>
      </c>
      <c r="L2" s="44" t="s">
        <v>30</v>
      </c>
      <c r="M2" s="44" t="s">
        <v>31</v>
      </c>
      <c r="N2" s="44" t="s">
        <v>32</v>
      </c>
      <c r="O2" s="44" t="s">
        <v>33</v>
      </c>
      <c r="P2" s="46">
        <v>92500</v>
      </c>
      <c r="Q2" s="47">
        <v>45757</v>
      </c>
      <c r="R2" s="47">
        <v>45940</v>
      </c>
      <c r="S2" s="44" t="s">
        <v>34</v>
      </c>
      <c r="T2" s="44" t="s">
        <v>35</v>
      </c>
    </row>
    <row r="3" spans="1:20" s="7" customFormat="1">
      <c r="A3" s="6" t="s">
        <v>36</v>
      </c>
      <c r="B3" s="6" t="s">
        <v>37</v>
      </c>
      <c r="C3" s="6" t="s">
        <v>38</v>
      </c>
      <c r="D3" s="6"/>
      <c r="E3" s="22"/>
      <c r="F3" s="6"/>
      <c r="G3" s="6" t="s">
        <v>39</v>
      </c>
      <c r="H3" s="6"/>
      <c r="I3" s="6"/>
      <c r="J3" s="6"/>
      <c r="K3" s="6"/>
      <c r="L3" s="6"/>
      <c r="M3" s="6"/>
      <c r="N3" s="6"/>
      <c r="O3" s="6"/>
      <c r="P3" s="20"/>
      <c r="Q3" s="21"/>
      <c r="R3" s="21"/>
      <c r="S3" s="6"/>
      <c r="T3" s="6"/>
    </row>
    <row r="4" spans="1:20" s="7" customFormat="1">
      <c r="A4" s="6" t="s">
        <v>40</v>
      </c>
      <c r="B4" s="6" t="s">
        <v>41</v>
      </c>
      <c r="C4" s="6"/>
      <c r="D4" s="6"/>
      <c r="E4" s="22"/>
      <c r="F4" s="6"/>
      <c r="G4" s="6" t="s">
        <v>42</v>
      </c>
      <c r="H4" s="6"/>
      <c r="I4" s="6"/>
      <c r="J4" s="6"/>
      <c r="K4" s="6"/>
      <c r="L4" s="6"/>
      <c r="M4" s="6"/>
      <c r="N4" s="6"/>
      <c r="O4" s="6"/>
      <c r="P4" s="20"/>
      <c r="Q4" s="21"/>
      <c r="R4" s="21"/>
      <c r="S4" s="6"/>
      <c r="T4" s="6"/>
    </row>
    <row r="5" spans="1:20" s="7" customFormat="1">
      <c r="A5" s="6" t="s">
        <v>43</v>
      </c>
      <c r="B5" s="6" t="s">
        <v>44</v>
      </c>
      <c r="C5" s="6"/>
      <c r="D5" s="6"/>
      <c r="E5" s="22"/>
      <c r="F5" s="6"/>
      <c r="G5" s="6" t="s">
        <v>45</v>
      </c>
      <c r="H5" s="6"/>
      <c r="I5" s="6"/>
      <c r="J5" s="6"/>
      <c r="K5" s="6"/>
      <c r="L5" s="6"/>
      <c r="M5" s="6"/>
      <c r="N5" s="6"/>
      <c r="O5" s="6"/>
      <c r="P5" s="20"/>
      <c r="Q5" s="21"/>
      <c r="R5" s="21"/>
      <c r="S5" s="6"/>
      <c r="T5" s="6"/>
    </row>
    <row r="6" spans="1:20" s="7" customFormat="1">
      <c r="A6" s="6" t="s">
        <v>46</v>
      </c>
      <c r="B6" s="6" t="s">
        <v>47</v>
      </c>
      <c r="C6" s="6" t="s">
        <v>48</v>
      </c>
      <c r="D6" s="6" t="s">
        <v>49</v>
      </c>
      <c r="E6" s="22"/>
      <c r="F6" s="6"/>
      <c r="G6" s="6" t="s">
        <v>50</v>
      </c>
      <c r="H6" s="6"/>
      <c r="I6" s="6"/>
      <c r="J6" s="6"/>
      <c r="K6" s="6"/>
      <c r="L6" s="6"/>
      <c r="M6" s="6"/>
      <c r="N6" s="6"/>
      <c r="O6" s="6"/>
      <c r="P6" s="20"/>
      <c r="Q6" s="21"/>
      <c r="R6" s="21"/>
      <c r="S6" s="6"/>
      <c r="T6" s="6"/>
    </row>
    <row r="7" spans="1:20" s="7" customFormat="1">
      <c r="A7" s="6" t="s">
        <v>51</v>
      </c>
      <c r="B7" s="6" t="s">
        <v>52</v>
      </c>
      <c r="C7" s="6" t="s">
        <v>53</v>
      </c>
      <c r="D7" s="6" t="s">
        <v>54</v>
      </c>
      <c r="E7" s="22"/>
      <c r="F7" s="6"/>
      <c r="G7" s="6" t="s">
        <v>55</v>
      </c>
      <c r="H7" s="6"/>
      <c r="I7" s="6"/>
      <c r="J7" s="6"/>
      <c r="K7" s="6"/>
      <c r="L7" s="6"/>
      <c r="M7" s="6"/>
      <c r="N7" s="6"/>
      <c r="O7" s="6"/>
      <c r="P7" s="20"/>
      <c r="Q7" s="21"/>
      <c r="R7" s="21"/>
      <c r="S7" s="6"/>
      <c r="T7" s="6"/>
    </row>
    <row r="8" spans="1:20" s="7" customFormat="1">
      <c r="A8" s="6" t="s">
        <v>56</v>
      </c>
      <c r="B8" s="6" t="s">
        <v>57</v>
      </c>
      <c r="C8" s="6" t="s">
        <v>58</v>
      </c>
      <c r="D8" s="6" t="s">
        <v>59</v>
      </c>
      <c r="E8" s="22"/>
      <c r="F8" s="6"/>
      <c r="G8" s="6" t="s">
        <v>60</v>
      </c>
      <c r="H8" s="6"/>
      <c r="I8" s="6"/>
      <c r="J8" s="6"/>
      <c r="K8" s="6"/>
      <c r="L8" s="6"/>
      <c r="M8" s="6"/>
      <c r="N8" s="6"/>
      <c r="O8" s="6"/>
      <c r="P8" s="20"/>
      <c r="Q8" s="21"/>
      <c r="R8" s="21"/>
      <c r="S8" s="6"/>
      <c r="T8" s="6"/>
    </row>
    <row r="9" spans="1:20" s="7" customFormat="1">
      <c r="A9" s="6" t="s">
        <v>61</v>
      </c>
      <c r="B9" s="6" t="s">
        <v>62</v>
      </c>
      <c r="C9" s="6"/>
      <c r="D9" s="6"/>
      <c r="E9" s="22"/>
      <c r="F9" s="6"/>
      <c r="G9" s="6" t="s">
        <v>63</v>
      </c>
      <c r="H9" s="6"/>
      <c r="I9" s="6"/>
      <c r="J9" s="6"/>
      <c r="K9" s="6"/>
      <c r="L9" s="6"/>
      <c r="M9" s="6"/>
      <c r="N9" s="6"/>
      <c r="O9" s="6"/>
      <c r="P9" s="20"/>
      <c r="Q9" s="21"/>
      <c r="R9" s="21"/>
      <c r="S9" s="6"/>
      <c r="T9" s="6"/>
    </row>
    <row r="10" spans="1:20" s="7" customFormat="1">
      <c r="A10" s="6" t="s">
        <v>64</v>
      </c>
      <c r="B10" s="6" t="s">
        <v>65</v>
      </c>
      <c r="C10" s="6"/>
      <c r="D10" s="6"/>
      <c r="E10" s="22"/>
      <c r="F10" s="6"/>
      <c r="G10" s="6" t="s">
        <v>66</v>
      </c>
      <c r="H10" s="6"/>
      <c r="I10" s="6"/>
      <c r="J10" s="6"/>
      <c r="K10" s="6"/>
      <c r="L10" s="6"/>
      <c r="M10" s="6"/>
      <c r="N10" s="6"/>
      <c r="O10" s="6"/>
      <c r="P10" s="20"/>
      <c r="Q10" s="21"/>
      <c r="R10" s="21"/>
      <c r="S10" s="6"/>
      <c r="T10" s="6"/>
    </row>
    <row r="11" spans="1:20" s="7" customFormat="1">
      <c r="A11" s="6" t="s">
        <v>67</v>
      </c>
      <c r="B11" s="6" t="s">
        <v>68</v>
      </c>
      <c r="C11" s="6" t="s">
        <v>69</v>
      </c>
      <c r="D11" s="6"/>
      <c r="E11" s="22"/>
      <c r="F11" s="6"/>
      <c r="G11" s="6" t="s">
        <v>70</v>
      </c>
      <c r="H11" s="6"/>
      <c r="I11" s="6"/>
      <c r="J11" s="6"/>
      <c r="K11" s="6"/>
      <c r="L11" s="6"/>
      <c r="M11" s="6"/>
      <c r="N11" s="6"/>
      <c r="O11" s="6"/>
      <c r="P11" s="20"/>
      <c r="Q11" s="21"/>
      <c r="R11" s="21"/>
      <c r="S11" s="6"/>
      <c r="T11" s="6"/>
    </row>
    <row r="12" spans="1:20" s="7" customFormat="1">
      <c r="A12" s="6" t="s">
        <v>71</v>
      </c>
      <c r="B12" s="6" t="s">
        <v>72</v>
      </c>
      <c r="C12" s="6"/>
      <c r="D12" s="6"/>
      <c r="E12" s="22"/>
      <c r="F12" s="6"/>
      <c r="G12" s="6" t="s">
        <v>73</v>
      </c>
      <c r="H12" s="6"/>
      <c r="I12" s="6"/>
      <c r="J12" s="6"/>
      <c r="K12" s="6"/>
      <c r="L12" s="6"/>
      <c r="M12" s="6"/>
      <c r="N12" s="6"/>
      <c r="O12" s="6"/>
      <c r="P12" s="20"/>
      <c r="Q12" s="21"/>
      <c r="R12" s="21"/>
      <c r="S12" s="6"/>
      <c r="T12" s="6"/>
    </row>
    <row r="13" spans="1:20" s="7" customFormat="1">
      <c r="A13" s="6" t="s">
        <v>74</v>
      </c>
      <c r="B13" s="6" t="s">
        <v>75</v>
      </c>
      <c r="C13" s="6" t="s">
        <v>76</v>
      </c>
      <c r="D13" s="6"/>
      <c r="E13" s="22"/>
      <c r="F13" s="6"/>
      <c r="G13" s="6" t="s">
        <v>77</v>
      </c>
      <c r="H13" s="6"/>
      <c r="I13" s="6"/>
      <c r="J13" s="6"/>
      <c r="K13" s="6"/>
      <c r="L13" s="6"/>
      <c r="M13" s="6"/>
      <c r="N13" s="6"/>
      <c r="O13" s="6"/>
      <c r="P13" s="20"/>
      <c r="Q13" s="21"/>
      <c r="R13" s="21"/>
      <c r="S13" s="6"/>
      <c r="T13" s="6"/>
    </row>
    <row r="14" spans="1:20" s="7" customFormat="1">
      <c r="A14" s="6" t="s">
        <v>78</v>
      </c>
      <c r="B14" s="6" t="s">
        <v>79</v>
      </c>
      <c r="C14" s="6" t="s">
        <v>80</v>
      </c>
      <c r="D14" s="6"/>
      <c r="E14" s="22"/>
      <c r="F14" s="6"/>
      <c r="G14" s="6" t="s">
        <v>81</v>
      </c>
      <c r="H14" s="6"/>
      <c r="I14" s="6"/>
      <c r="J14" s="6"/>
      <c r="K14" s="6"/>
      <c r="L14" s="6"/>
      <c r="M14" s="6"/>
      <c r="N14" s="6"/>
      <c r="O14" s="6"/>
      <c r="P14" s="20"/>
      <c r="Q14" s="21"/>
      <c r="R14" s="21"/>
      <c r="S14" s="6"/>
      <c r="T14" s="6"/>
    </row>
    <row r="15" spans="1:20" s="7" customFormat="1">
      <c r="A15" s="6" t="s">
        <v>82</v>
      </c>
      <c r="B15" s="6" t="s">
        <v>83</v>
      </c>
      <c r="C15" s="6" t="s">
        <v>84</v>
      </c>
      <c r="D15" s="6"/>
      <c r="E15" s="22"/>
      <c r="F15" s="6"/>
      <c r="G15" s="6" t="s">
        <v>85</v>
      </c>
      <c r="H15" s="6"/>
      <c r="I15" s="6"/>
      <c r="J15" s="6"/>
      <c r="K15" s="6"/>
      <c r="L15" s="6"/>
      <c r="M15" s="6"/>
      <c r="N15" s="6"/>
      <c r="O15" s="6"/>
      <c r="P15" s="20"/>
      <c r="Q15" s="21"/>
      <c r="R15" s="21"/>
      <c r="S15" s="6"/>
      <c r="T15" s="6"/>
    </row>
    <row r="16" spans="1:20" s="7" customFormat="1">
      <c r="A16" s="6" t="s">
        <v>86</v>
      </c>
      <c r="B16" s="6" t="s">
        <v>87</v>
      </c>
      <c r="C16" s="6" t="s">
        <v>88</v>
      </c>
      <c r="D16" s="6"/>
      <c r="E16" s="22"/>
      <c r="F16" s="6"/>
      <c r="G16" s="6" t="s">
        <v>89</v>
      </c>
      <c r="H16" s="6"/>
      <c r="I16" s="6"/>
      <c r="J16" s="6"/>
      <c r="K16" s="6"/>
      <c r="L16" s="6"/>
      <c r="M16" s="6"/>
      <c r="N16" s="6"/>
      <c r="O16" s="6"/>
      <c r="P16" s="20"/>
      <c r="Q16" s="21"/>
      <c r="R16" s="21"/>
      <c r="S16" s="6"/>
      <c r="T16" s="6"/>
    </row>
    <row r="17" spans="1:20" s="7" customFormat="1">
      <c r="A17" s="6" t="s">
        <v>90</v>
      </c>
      <c r="B17" s="6" t="s">
        <v>91</v>
      </c>
      <c r="C17" s="6" t="s">
        <v>92</v>
      </c>
      <c r="D17" s="6"/>
      <c r="E17" s="22"/>
      <c r="F17" s="6"/>
      <c r="G17" s="6" t="s">
        <v>93</v>
      </c>
      <c r="H17" s="6"/>
      <c r="I17" s="6"/>
      <c r="J17" s="6"/>
      <c r="K17" s="6"/>
      <c r="L17" s="6"/>
      <c r="M17" s="6"/>
      <c r="N17" s="6"/>
      <c r="O17" s="6"/>
      <c r="P17" s="20"/>
      <c r="Q17" s="21"/>
      <c r="R17" s="21"/>
      <c r="S17" s="6"/>
      <c r="T17" s="6"/>
    </row>
    <row r="18" spans="1:20" s="7" customFormat="1">
      <c r="A18" s="6" t="s">
        <v>94</v>
      </c>
      <c r="B18" s="6" t="s">
        <v>95</v>
      </c>
      <c r="C18" s="6"/>
      <c r="D18" s="6"/>
      <c r="E18" s="22"/>
      <c r="F18" s="6"/>
      <c r="G18" s="6" t="s">
        <v>96</v>
      </c>
      <c r="H18" s="6"/>
      <c r="I18" s="6"/>
      <c r="J18" s="6"/>
      <c r="K18" s="6"/>
      <c r="L18" s="6"/>
      <c r="M18" s="6"/>
      <c r="N18" s="6"/>
      <c r="O18" s="6"/>
      <c r="P18" s="20"/>
      <c r="Q18" s="21"/>
      <c r="R18" s="21"/>
      <c r="S18" s="6"/>
      <c r="T18" s="6"/>
    </row>
    <row r="19" spans="1:20" s="7" customFormat="1">
      <c r="A19" s="6" t="s">
        <v>97</v>
      </c>
      <c r="B19" s="6" t="s">
        <v>98</v>
      </c>
      <c r="C19" s="6"/>
      <c r="D19" s="6"/>
      <c r="E19" s="22"/>
      <c r="F19" s="6"/>
      <c r="G19" s="6" t="s">
        <v>99</v>
      </c>
      <c r="H19" s="6"/>
      <c r="I19" s="6"/>
      <c r="J19" s="6"/>
      <c r="K19" s="6"/>
      <c r="L19" s="6"/>
      <c r="M19" s="6"/>
      <c r="N19" s="6"/>
      <c r="O19" s="6"/>
      <c r="P19" s="20"/>
      <c r="Q19" s="21"/>
      <c r="R19" s="21"/>
      <c r="S19" s="6"/>
      <c r="T19" s="6"/>
    </row>
    <row r="20" spans="1:20" s="7" customFormat="1">
      <c r="A20" s="6" t="s">
        <v>100</v>
      </c>
      <c r="B20" s="6" t="s">
        <v>101</v>
      </c>
      <c r="C20" s="6" t="s">
        <v>102</v>
      </c>
      <c r="D20" s="6"/>
      <c r="E20" s="22"/>
      <c r="F20" s="6"/>
      <c r="G20" s="6" t="s">
        <v>103</v>
      </c>
      <c r="H20" s="6"/>
      <c r="I20" s="6"/>
      <c r="J20" s="6"/>
      <c r="K20" s="6"/>
      <c r="L20" s="6"/>
      <c r="M20" s="6"/>
      <c r="N20" s="6"/>
      <c r="O20" s="6"/>
      <c r="P20" s="20"/>
      <c r="Q20" s="21"/>
      <c r="R20" s="21"/>
      <c r="S20" s="6"/>
      <c r="T20" s="6"/>
    </row>
    <row r="21" spans="1:20" s="7" customFormat="1">
      <c r="A21" s="6" t="s">
        <v>104</v>
      </c>
      <c r="B21" s="6" t="s">
        <v>105</v>
      </c>
      <c r="C21" s="6" t="s">
        <v>106</v>
      </c>
      <c r="D21" s="6"/>
      <c r="E21" s="22"/>
      <c r="F21" s="6"/>
      <c r="G21" s="6" t="s">
        <v>107</v>
      </c>
      <c r="H21" s="6"/>
      <c r="I21" s="6"/>
      <c r="J21" s="6"/>
      <c r="K21" s="6"/>
      <c r="L21" s="6"/>
      <c r="M21" s="6"/>
      <c r="N21" s="6"/>
      <c r="O21" s="6"/>
      <c r="P21" s="20"/>
      <c r="Q21" s="21"/>
      <c r="R21" s="21"/>
      <c r="S21" s="6"/>
      <c r="T21" s="6"/>
    </row>
    <row r="22" spans="1:20" ht="15" customHeight="1">
      <c r="A22" s="6" t="s">
        <v>108</v>
      </c>
      <c r="B22" s="6" t="s">
        <v>109</v>
      </c>
      <c r="C22" s="5" t="s">
        <v>110</v>
      </c>
      <c r="D22" s="5" t="s">
        <v>111</v>
      </c>
      <c r="G22" s="6" t="s">
        <v>112</v>
      </c>
    </row>
    <row r="23" spans="1:20" ht="15" customHeight="1">
      <c r="A23" s="6" t="s">
        <v>113</v>
      </c>
      <c r="B23" s="6" t="s">
        <v>114</v>
      </c>
      <c r="C23" s="5"/>
      <c r="D23" s="5"/>
      <c r="G23" s="6" t="s">
        <v>115</v>
      </c>
    </row>
    <row r="24" spans="1:20" ht="15" customHeight="1">
      <c r="A24" s="6" t="s">
        <v>116</v>
      </c>
      <c r="B24" s="6" t="s">
        <v>117</v>
      </c>
      <c r="C24" s="5" t="s">
        <v>118</v>
      </c>
      <c r="D24" s="5"/>
      <c r="G24" s="6" t="s">
        <v>119</v>
      </c>
    </row>
    <row r="25" spans="1:20" ht="15" customHeight="1">
      <c r="A25" s="6" t="s">
        <v>120</v>
      </c>
      <c r="B25" s="6" t="s">
        <v>121</v>
      </c>
      <c r="C25" s="5"/>
      <c r="D25" s="5"/>
      <c r="G25" s="6" t="s">
        <v>122</v>
      </c>
    </row>
    <row r="26" spans="1:20" ht="15" customHeight="1">
      <c r="A26" s="6" t="s">
        <v>123</v>
      </c>
      <c r="B26" s="6" t="s">
        <v>124</v>
      </c>
      <c r="C26" s="5"/>
      <c r="D26" s="5"/>
      <c r="G26" s="6" t="s">
        <v>125</v>
      </c>
    </row>
    <row r="27" spans="1:20" ht="15" customHeight="1">
      <c r="A27" s="6" t="s">
        <v>126</v>
      </c>
      <c r="B27" s="6" t="s">
        <v>127</v>
      </c>
      <c r="C27" s="5" t="s">
        <v>128</v>
      </c>
      <c r="D27" s="5"/>
      <c r="G27" s="6" t="s">
        <v>129</v>
      </c>
    </row>
    <row r="28" spans="1:20" ht="15" customHeight="1">
      <c r="A28" s="6" t="s">
        <v>130</v>
      </c>
      <c r="B28" s="6" t="s">
        <v>131</v>
      </c>
      <c r="C28" s="5" t="s">
        <v>132</v>
      </c>
      <c r="D28" s="5"/>
      <c r="G28" s="6" t="s">
        <v>133</v>
      </c>
    </row>
    <row r="29" spans="1:20" ht="15" customHeight="1">
      <c r="A29" s="6" t="s">
        <v>134</v>
      </c>
      <c r="B29" s="6" t="s">
        <v>135</v>
      </c>
      <c r="C29" s="5"/>
      <c r="D29" s="5"/>
      <c r="G29" s="6" t="s">
        <v>136</v>
      </c>
    </row>
    <row r="30" spans="1:20" ht="15" customHeight="1">
      <c r="A30" s="6" t="s">
        <v>137</v>
      </c>
      <c r="B30" s="6" t="s">
        <v>138</v>
      </c>
      <c r="C30" s="5" t="s">
        <v>139</v>
      </c>
      <c r="D30" s="5" t="s">
        <v>140</v>
      </c>
      <c r="G30" s="6" t="s">
        <v>141</v>
      </c>
    </row>
    <row r="31" spans="1:20" ht="15" customHeight="1">
      <c r="A31" s="6" t="s">
        <v>142</v>
      </c>
      <c r="B31" s="6" t="s">
        <v>143</v>
      </c>
      <c r="C31" s="5" t="s">
        <v>144</v>
      </c>
      <c r="D31" s="5" t="s">
        <v>145</v>
      </c>
      <c r="G31" s="6" t="s">
        <v>146</v>
      </c>
    </row>
    <row r="32" spans="1:20" ht="15" customHeight="1">
      <c r="A32" s="6" t="s">
        <v>147</v>
      </c>
      <c r="B32" s="6" t="s">
        <v>148</v>
      </c>
      <c r="C32" s="5"/>
      <c r="D32" s="5"/>
      <c r="G32" s="6" t="s">
        <v>149</v>
      </c>
    </row>
    <row r="33" spans="1:7" ht="15" customHeight="1">
      <c r="A33" s="6" t="s">
        <v>150</v>
      </c>
      <c r="B33" s="6" t="s">
        <v>151</v>
      </c>
      <c r="C33" s="5" t="s">
        <v>152</v>
      </c>
      <c r="D33" s="5"/>
      <c r="G33" s="6" t="s">
        <v>153</v>
      </c>
    </row>
    <row r="34" spans="1:7" ht="15" customHeight="1">
      <c r="A34" s="6" t="s">
        <v>154</v>
      </c>
      <c r="B34" s="6" t="s">
        <v>155</v>
      </c>
      <c r="C34" s="5" t="s">
        <v>156</v>
      </c>
      <c r="D34" s="5" t="s">
        <v>157</v>
      </c>
      <c r="G34" s="6" t="s">
        <v>158</v>
      </c>
    </row>
    <row r="35" spans="1:7" ht="15" customHeight="1">
      <c r="A35" s="6" t="s">
        <v>159</v>
      </c>
      <c r="B35" s="6" t="s">
        <v>160</v>
      </c>
      <c r="C35" s="5" t="s">
        <v>161</v>
      </c>
      <c r="D35" s="5" t="s">
        <v>162</v>
      </c>
      <c r="G35" s="6" t="s">
        <v>163</v>
      </c>
    </row>
    <row r="36" spans="1:7" ht="15" customHeight="1">
      <c r="A36" s="6" t="s">
        <v>164</v>
      </c>
      <c r="B36" s="6" t="s">
        <v>165</v>
      </c>
      <c r="C36" s="5" t="s">
        <v>166</v>
      </c>
      <c r="D36" s="5" t="s">
        <v>167</v>
      </c>
      <c r="G36" s="6" t="s">
        <v>168</v>
      </c>
    </row>
    <row r="37" spans="1:7" ht="15" customHeight="1">
      <c r="A37" s="6" t="s">
        <v>169</v>
      </c>
      <c r="B37" s="6" t="s">
        <v>170</v>
      </c>
      <c r="C37" s="5" t="s">
        <v>171</v>
      </c>
      <c r="D37" s="5"/>
      <c r="G37" s="6" t="s">
        <v>172</v>
      </c>
    </row>
    <row r="38" spans="1:7" ht="15" customHeight="1">
      <c r="A38" s="6" t="s">
        <v>173</v>
      </c>
      <c r="B38" s="6" t="s">
        <v>174</v>
      </c>
      <c r="C38" s="5" t="s">
        <v>175</v>
      </c>
      <c r="D38" s="5"/>
      <c r="G38" s="6" t="s">
        <v>176</v>
      </c>
    </row>
    <row r="39" spans="1:7" ht="15" customHeight="1">
      <c r="A39" s="6" t="s">
        <v>177</v>
      </c>
      <c r="B39" s="6" t="s">
        <v>178</v>
      </c>
      <c r="C39" s="5" t="s">
        <v>179</v>
      </c>
      <c r="D39" s="5" t="s">
        <v>180</v>
      </c>
      <c r="G39" s="6" t="s">
        <v>181</v>
      </c>
    </row>
    <row r="40" spans="1:7" ht="15" customHeight="1">
      <c r="A40" s="6" t="s">
        <v>182</v>
      </c>
      <c r="B40" s="6" t="s">
        <v>183</v>
      </c>
      <c r="C40" s="5" t="s">
        <v>184</v>
      </c>
      <c r="D40" s="5"/>
      <c r="G40" s="6" t="s">
        <v>185</v>
      </c>
    </row>
    <row r="41" spans="1:7" ht="15" customHeight="1">
      <c r="A41" s="6" t="s">
        <v>186</v>
      </c>
      <c r="B41" s="6" t="s">
        <v>187</v>
      </c>
      <c r="C41" s="5" t="s">
        <v>188</v>
      </c>
      <c r="D41" s="5"/>
      <c r="G41" s="6" t="s">
        <v>189</v>
      </c>
    </row>
    <row r="42" spans="1:7" ht="15" customHeight="1">
      <c r="A42" s="6" t="s">
        <v>190</v>
      </c>
      <c r="B42" s="6" t="s">
        <v>191</v>
      </c>
      <c r="C42" s="5" t="s">
        <v>192</v>
      </c>
      <c r="D42" s="5"/>
      <c r="G42" s="6" t="s">
        <v>193</v>
      </c>
    </row>
    <row r="43" spans="1:7" ht="15" customHeight="1">
      <c r="A43" s="6" t="s">
        <v>194</v>
      </c>
      <c r="B43" s="6" t="s">
        <v>195</v>
      </c>
      <c r="C43" s="5" t="s">
        <v>196</v>
      </c>
      <c r="D43" s="5"/>
      <c r="G43" s="6" t="s">
        <v>197</v>
      </c>
    </row>
    <row r="44" spans="1:7" ht="15" customHeight="1">
      <c r="A44" s="6" t="s">
        <v>198</v>
      </c>
      <c r="B44" s="6" t="s">
        <v>199</v>
      </c>
      <c r="C44" s="5" t="s">
        <v>184</v>
      </c>
      <c r="D44" s="5"/>
      <c r="G44" s="6" t="s">
        <v>200</v>
      </c>
    </row>
    <row r="45" spans="1:7" ht="15" customHeight="1">
      <c r="A45" s="6" t="s">
        <v>201</v>
      </c>
      <c r="B45" s="6" t="s">
        <v>202</v>
      </c>
      <c r="C45" s="5" t="s">
        <v>203</v>
      </c>
      <c r="D45" s="5" t="s">
        <v>204</v>
      </c>
      <c r="G45" s="6" t="s">
        <v>205</v>
      </c>
    </row>
    <row r="46" spans="1:7" ht="15" customHeight="1">
      <c r="A46" s="6" t="s">
        <v>206</v>
      </c>
      <c r="B46" s="6" t="s">
        <v>207</v>
      </c>
      <c r="C46" s="5" t="s">
        <v>208</v>
      </c>
      <c r="D46" s="5"/>
      <c r="G46" s="6" t="s">
        <v>209</v>
      </c>
    </row>
    <row r="47" spans="1:7" ht="15" customHeight="1">
      <c r="A47" s="6" t="s">
        <v>210</v>
      </c>
      <c r="B47" s="6" t="s">
        <v>211</v>
      </c>
      <c r="C47" s="5"/>
      <c r="D47" s="5"/>
      <c r="G47" s="6" t="s">
        <v>212</v>
      </c>
    </row>
    <row r="48" spans="1:7" ht="15" customHeight="1">
      <c r="A48" s="6" t="s">
        <v>213</v>
      </c>
      <c r="B48" s="6" t="s">
        <v>214</v>
      </c>
      <c r="C48" s="5"/>
      <c r="D48" s="5"/>
      <c r="G48" s="6" t="s">
        <v>215</v>
      </c>
    </row>
    <row r="49" spans="1:7" ht="15" customHeight="1">
      <c r="A49" s="6" t="s">
        <v>216</v>
      </c>
      <c r="B49" s="6" t="s">
        <v>217</v>
      </c>
      <c r="C49" s="5" t="s">
        <v>218</v>
      </c>
      <c r="D49" s="5"/>
      <c r="G49" s="6" t="s">
        <v>219</v>
      </c>
    </row>
    <row r="50" spans="1:7" ht="15" customHeight="1">
      <c r="A50" s="6" t="s">
        <v>220</v>
      </c>
      <c r="B50" s="6" t="s">
        <v>221</v>
      </c>
      <c r="C50" s="5"/>
      <c r="D50" s="5"/>
      <c r="G50" s="6" t="s">
        <v>222</v>
      </c>
    </row>
    <row r="51" spans="1:7" ht="15" customHeight="1">
      <c r="A51" s="6" t="s">
        <v>223</v>
      </c>
      <c r="B51" s="6" t="s">
        <v>224</v>
      </c>
      <c r="C51" s="5" t="s">
        <v>225</v>
      </c>
      <c r="D51" s="5" t="s">
        <v>226</v>
      </c>
      <c r="G51" s="6" t="s">
        <v>227</v>
      </c>
    </row>
    <row r="52" spans="1:7" ht="15" customHeight="1">
      <c r="A52" s="6" t="s">
        <v>228</v>
      </c>
      <c r="B52" s="6" t="s">
        <v>229</v>
      </c>
      <c r="C52" s="5" t="s">
        <v>230</v>
      </c>
      <c r="D52" s="5"/>
      <c r="G52" s="6" t="s">
        <v>231</v>
      </c>
    </row>
    <row r="53" spans="1:7" ht="15" customHeight="1">
      <c r="A53" s="6" t="s">
        <v>232</v>
      </c>
      <c r="B53" s="6" t="s">
        <v>233</v>
      </c>
      <c r="C53" s="5" t="s">
        <v>234</v>
      </c>
      <c r="D53" s="5" t="s">
        <v>235</v>
      </c>
      <c r="G53" s="6" t="s">
        <v>236</v>
      </c>
    </row>
    <row r="54" spans="1:7" ht="15" customHeight="1">
      <c r="A54" s="6" t="s">
        <v>237</v>
      </c>
      <c r="B54" s="6" t="s">
        <v>238</v>
      </c>
      <c r="C54" s="5" t="s">
        <v>239</v>
      </c>
      <c r="D54" s="5"/>
      <c r="G54" s="6" t="s">
        <v>240</v>
      </c>
    </row>
    <row r="55" spans="1:7" ht="15" customHeight="1">
      <c r="A55" s="6" t="s">
        <v>241</v>
      </c>
      <c r="B55" s="6" t="s">
        <v>242</v>
      </c>
      <c r="C55" s="5" t="s">
        <v>243</v>
      </c>
      <c r="D55" s="5"/>
      <c r="G55" s="6" t="s">
        <v>244</v>
      </c>
    </row>
    <row r="56" spans="1:7" ht="15" customHeight="1">
      <c r="A56" s="6" t="s">
        <v>245</v>
      </c>
      <c r="B56" s="6" t="s">
        <v>246</v>
      </c>
      <c r="C56" s="5" t="s">
        <v>247</v>
      </c>
      <c r="D56" s="5"/>
      <c r="G56" s="6" t="s">
        <v>248</v>
      </c>
    </row>
    <row r="57" spans="1:7" ht="15" customHeight="1">
      <c r="A57" s="6" t="s">
        <v>249</v>
      </c>
      <c r="B57" s="6" t="s">
        <v>250</v>
      </c>
      <c r="C57" s="5" t="s">
        <v>251</v>
      </c>
      <c r="D57" s="5"/>
      <c r="G57" s="6" t="s">
        <v>252</v>
      </c>
    </row>
    <row r="58" spans="1:7" ht="15" customHeight="1">
      <c r="A58" s="6" t="s">
        <v>253</v>
      </c>
      <c r="B58" s="6" t="s">
        <v>254</v>
      </c>
      <c r="C58" s="5" t="s">
        <v>255</v>
      </c>
      <c r="D58" s="5"/>
      <c r="G58" s="6" t="s">
        <v>256</v>
      </c>
    </row>
    <row r="59" spans="1:7" ht="15" customHeight="1">
      <c r="A59" s="6" t="s">
        <v>257</v>
      </c>
      <c r="B59" s="6" t="s">
        <v>258</v>
      </c>
      <c r="C59" s="5" t="s">
        <v>259</v>
      </c>
      <c r="D59" s="5" t="s">
        <v>260</v>
      </c>
      <c r="G59" s="6" t="s">
        <v>261</v>
      </c>
    </row>
    <row r="60" spans="1:7" ht="15" customHeight="1">
      <c r="A60" s="6" t="s">
        <v>262</v>
      </c>
      <c r="B60" s="6" t="s">
        <v>263</v>
      </c>
      <c r="C60" s="5" t="s">
        <v>264</v>
      </c>
      <c r="D60" s="5"/>
      <c r="G60" s="6" t="s">
        <v>265</v>
      </c>
    </row>
    <row r="61" spans="1:7" ht="15" customHeight="1">
      <c r="A61" s="6" t="s">
        <v>266</v>
      </c>
      <c r="B61" s="6" t="s">
        <v>267</v>
      </c>
      <c r="C61" s="5" t="s">
        <v>84</v>
      </c>
      <c r="D61" s="5"/>
      <c r="G61" s="6" t="s">
        <v>268</v>
      </c>
    </row>
    <row r="62" spans="1:7" ht="15" customHeight="1">
      <c r="A62" s="6" t="s">
        <v>269</v>
      </c>
      <c r="B62" s="6" t="s">
        <v>270</v>
      </c>
      <c r="C62" s="5"/>
      <c r="D62" s="5"/>
      <c r="G62" s="6" t="s">
        <v>271</v>
      </c>
    </row>
    <row r="63" spans="1:7" ht="15" customHeight="1">
      <c r="A63" s="6" t="s">
        <v>272</v>
      </c>
      <c r="B63" s="6" t="s">
        <v>273</v>
      </c>
      <c r="C63" s="5" t="s">
        <v>274</v>
      </c>
      <c r="D63" s="5" t="s">
        <v>275</v>
      </c>
      <c r="G63" s="6" t="s">
        <v>276</v>
      </c>
    </row>
    <row r="64" spans="1:7" ht="15" customHeight="1">
      <c r="A64" s="6" t="s">
        <v>277</v>
      </c>
      <c r="B64" s="6" t="s">
        <v>278</v>
      </c>
      <c r="C64" s="5" t="s">
        <v>208</v>
      </c>
      <c r="D64" s="5"/>
      <c r="G64" s="6" t="s">
        <v>279</v>
      </c>
    </row>
    <row r="65" spans="1:7" ht="15" customHeight="1">
      <c r="A65" s="6" t="s">
        <v>280</v>
      </c>
      <c r="B65" s="6" t="s">
        <v>281</v>
      </c>
      <c r="C65" s="5" t="s">
        <v>282</v>
      </c>
      <c r="D65" s="5"/>
      <c r="G65" s="6" t="s">
        <v>283</v>
      </c>
    </row>
    <row r="66" spans="1:7" ht="15" customHeight="1">
      <c r="A66" s="6" t="s">
        <v>284</v>
      </c>
      <c r="B66" s="6" t="s">
        <v>285</v>
      </c>
      <c r="C66" s="5" t="s">
        <v>286</v>
      </c>
      <c r="D66" s="5" t="s">
        <v>287</v>
      </c>
      <c r="G66" s="6" t="s">
        <v>288</v>
      </c>
    </row>
    <row r="67" spans="1:7" ht="15" customHeight="1">
      <c r="A67" s="6" t="s">
        <v>289</v>
      </c>
      <c r="B67" s="6" t="s">
        <v>290</v>
      </c>
      <c r="C67" s="5" t="s">
        <v>291</v>
      </c>
      <c r="D67" s="5" t="s">
        <v>292</v>
      </c>
      <c r="G67" s="6" t="s">
        <v>293</v>
      </c>
    </row>
    <row r="68" spans="1:7" ht="15" customHeight="1">
      <c r="A68" s="6" t="s">
        <v>294</v>
      </c>
      <c r="B68" s="6" t="s">
        <v>295</v>
      </c>
      <c r="C68" s="5" t="s">
        <v>296</v>
      </c>
      <c r="D68" s="5" t="s">
        <v>297</v>
      </c>
      <c r="G68" s="6" t="s">
        <v>298</v>
      </c>
    </row>
    <row r="69" spans="1:7" ht="15" customHeight="1">
      <c r="A69" s="6" t="s">
        <v>299</v>
      </c>
      <c r="B69" s="6" t="s">
        <v>300</v>
      </c>
      <c r="C69" s="5" t="s">
        <v>301</v>
      </c>
      <c r="D69" s="5" t="s">
        <v>302</v>
      </c>
      <c r="G69" s="6" t="s">
        <v>303</v>
      </c>
    </row>
    <row r="70" spans="1:7" ht="15" customHeight="1">
      <c r="A70" s="6" t="s">
        <v>304</v>
      </c>
      <c r="B70" s="6" t="s">
        <v>305</v>
      </c>
      <c r="C70" s="5" t="s">
        <v>306</v>
      </c>
      <c r="D70" s="5" t="s">
        <v>307</v>
      </c>
      <c r="G70" s="6" t="s">
        <v>308</v>
      </c>
    </row>
    <row r="71" spans="1:7" ht="15" customHeight="1">
      <c r="A71" s="6" t="s">
        <v>309</v>
      </c>
      <c r="B71" s="6" t="s">
        <v>310</v>
      </c>
      <c r="C71" s="5" t="s">
        <v>311</v>
      </c>
      <c r="D71" s="5" t="s">
        <v>312</v>
      </c>
      <c r="G71" s="6" t="s">
        <v>313</v>
      </c>
    </row>
    <row r="72" spans="1:7" ht="15" customHeight="1">
      <c r="A72" s="6" t="s">
        <v>314</v>
      </c>
      <c r="B72" s="6" t="s">
        <v>315</v>
      </c>
      <c r="C72" s="5" t="s">
        <v>316</v>
      </c>
      <c r="D72" s="5" t="s">
        <v>317</v>
      </c>
      <c r="G72" s="6" t="s">
        <v>318</v>
      </c>
    </row>
    <row r="73" spans="1:7" ht="15" customHeight="1">
      <c r="A73" s="6" t="s">
        <v>319</v>
      </c>
      <c r="B73" s="6" t="s">
        <v>320</v>
      </c>
      <c r="C73" s="5" t="s">
        <v>321</v>
      </c>
      <c r="D73" s="5" t="s">
        <v>322</v>
      </c>
      <c r="G73" s="6" t="s">
        <v>323</v>
      </c>
    </row>
    <row r="74" spans="1:7" ht="15" customHeight="1">
      <c r="A74" s="6" t="s">
        <v>324</v>
      </c>
      <c r="B74" s="6" t="s">
        <v>325</v>
      </c>
      <c r="C74" s="5" t="s">
        <v>326</v>
      </c>
      <c r="D74" s="5" t="s">
        <v>327</v>
      </c>
      <c r="G74" s="6" t="s">
        <v>328</v>
      </c>
    </row>
    <row r="75" spans="1:7" ht="15" customHeight="1">
      <c r="A75" s="6" t="s">
        <v>329</v>
      </c>
      <c r="B75" s="6" t="s">
        <v>330</v>
      </c>
      <c r="C75" s="5" t="s">
        <v>331</v>
      </c>
      <c r="D75" s="5" t="s">
        <v>332</v>
      </c>
      <c r="G75" s="6" t="s">
        <v>333</v>
      </c>
    </row>
    <row r="76" spans="1:7" ht="15" customHeight="1">
      <c r="A76" s="6" t="s">
        <v>334</v>
      </c>
      <c r="B76" s="6" t="s">
        <v>335</v>
      </c>
      <c r="C76" s="5" t="s">
        <v>336</v>
      </c>
      <c r="D76" s="5" t="s">
        <v>337</v>
      </c>
      <c r="G76" s="6" t="s">
        <v>338</v>
      </c>
    </row>
    <row r="77" spans="1:7" ht="15" customHeight="1">
      <c r="A77" s="6" t="s">
        <v>339</v>
      </c>
      <c r="B77" s="6" t="s">
        <v>340</v>
      </c>
      <c r="C77" s="5" t="s">
        <v>341</v>
      </c>
      <c r="D77" s="5" t="s">
        <v>342</v>
      </c>
      <c r="G77" s="6" t="s">
        <v>343</v>
      </c>
    </row>
    <row r="78" spans="1:7" ht="15" customHeight="1">
      <c r="A78" s="6" t="s">
        <v>344</v>
      </c>
      <c r="B78" s="6" t="s">
        <v>345</v>
      </c>
      <c r="C78" s="5" t="s">
        <v>346</v>
      </c>
      <c r="D78" s="5" t="s">
        <v>347</v>
      </c>
      <c r="G78" s="6" t="s">
        <v>348</v>
      </c>
    </row>
    <row r="79" spans="1:7" ht="15" customHeight="1">
      <c r="A79" s="6" t="s">
        <v>349</v>
      </c>
      <c r="B79" s="6" t="s">
        <v>350</v>
      </c>
      <c r="C79" s="5" t="s">
        <v>351</v>
      </c>
      <c r="D79" s="5" t="s">
        <v>352</v>
      </c>
      <c r="G79" s="6" t="s">
        <v>353</v>
      </c>
    </row>
    <row r="80" spans="1:7" ht="15" customHeight="1">
      <c r="A80" s="6" t="s">
        <v>354</v>
      </c>
      <c r="B80" s="6" t="s">
        <v>355</v>
      </c>
      <c r="C80" s="5" t="s">
        <v>356</v>
      </c>
      <c r="D80" s="5" t="s">
        <v>357</v>
      </c>
      <c r="G80" s="6" t="s">
        <v>358</v>
      </c>
    </row>
    <row r="81" spans="1:7" ht="15" customHeight="1">
      <c r="A81" s="6" t="s">
        <v>359</v>
      </c>
      <c r="B81" s="6" t="s">
        <v>360</v>
      </c>
      <c r="C81" s="5" t="s">
        <v>361</v>
      </c>
      <c r="D81" s="5" t="s">
        <v>362</v>
      </c>
      <c r="G81" s="6" t="s">
        <v>363</v>
      </c>
    </row>
    <row r="82" spans="1:7" ht="15" customHeight="1">
      <c r="A82" s="6" t="s">
        <v>364</v>
      </c>
      <c r="B82" s="6" t="s">
        <v>365</v>
      </c>
      <c r="C82" s="5" t="s">
        <v>366</v>
      </c>
      <c r="D82" s="5" t="s">
        <v>367</v>
      </c>
      <c r="G82" s="6" t="s">
        <v>368</v>
      </c>
    </row>
    <row r="83" spans="1:7" ht="15" customHeight="1">
      <c r="A83" s="6" t="s">
        <v>369</v>
      </c>
      <c r="B83" s="6" t="s">
        <v>370</v>
      </c>
      <c r="C83" s="5" t="s">
        <v>371</v>
      </c>
      <c r="D83" s="5" t="s">
        <v>372</v>
      </c>
      <c r="G83" s="6" t="s">
        <v>373</v>
      </c>
    </row>
    <row r="84" spans="1:7" ht="15" customHeight="1">
      <c r="A84" s="6" t="s">
        <v>374</v>
      </c>
      <c r="B84" s="6" t="s">
        <v>375</v>
      </c>
      <c r="C84" s="5" t="s">
        <v>376</v>
      </c>
      <c r="D84" s="5" t="s">
        <v>377</v>
      </c>
      <c r="G84" s="6" t="s">
        <v>378</v>
      </c>
    </row>
    <row r="85" spans="1:7" ht="15" customHeight="1">
      <c r="A85" s="6" t="s">
        <v>379</v>
      </c>
      <c r="B85" s="6" t="s">
        <v>380</v>
      </c>
      <c r="C85" s="5" t="s">
        <v>381</v>
      </c>
      <c r="D85" s="5" t="s">
        <v>382</v>
      </c>
      <c r="G85" s="6" t="s">
        <v>383</v>
      </c>
    </row>
    <row r="86" spans="1:7" ht="15" customHeight="1">
      <c r="A86" s="6" t="s">
        <v>384</v>
      </c>
      <c r="B86" s="6" t="s">
        <v>385</v>
      </c>
      <c r="C86" s="5" t="s">
        <v>386</v>
      </c>
      <c r="D86" s="5" t="s">
        <v>387</v>
      </c>
      <c r="G86" s="6" t="s">
        <v>388</v>
      </c>
    </row>
    <row r="87" spans="1:7" ht="15" customHeight="1">
      <c r="A87" s="6" t="s">
        <v>389</v>
      </c>
      <c r="B87" s="6" t="s">
        <v>390</v>
      </c>
      <c r="C87" s="5" t="s">
        <v>391</v>
      </c>
      <c r="D87" s="5" t="s">
        <v>392</v>
      </c>
      <c r="G87" s="6" t="s">
        <v>393</v>
      </c>
    </row>
    <row r="88" spans="1:7" ht="15" customHeight="1">
      <c r="A88" s="6" t="s">
        <v>394</v>
      </c>
      <c r="B88" s="6" t="s">
        <v>395</v>
      </c>
      <c r="C88" s="5" t="s">
        <v>396</v>
      </c>
      <c r="D88" s="5" t="s">
        <v>397</v>
      </c>
      <c r="G88" s="6" t="s">
        <v>398</v>
      </c>
    </row>
    <row r="89" spans="1:7" ht="15" customHeight="1">
      <c r="A89" s="6" t="s">
        <v>399</v>
      </c>
      <c r="B89" s="6" t="s">
        <v>400</v>
      </c>
      <c r="C89" s="5" t="s">
        <v>401</v>
      </c>
      <c r="D89" s="5" t="s">
        <v>402</v>
      </c>
      <c r="G89" s="6" t="s">
        <v>403</v>
      </c>
    </row>
    <row r="90" spans="1:7" ht="15" customHeight="1">
      <c r="A90" s="6" t="s">
        <v>404</v>
      </c>
      <c r="B90" s="6" t="s">
        <v>405</v>
      </c>
      <c r="C90" s="5" t="s">
        <v>406</v>
      </c>
      <c r="D90" s="5" t="s">
        <v>407</v>
      </c>
      <c r="G90" s="6" t="s">
        <v>408</v>
      </c>
    </row>
    <row r="91" spans="1:7" ht="15" customHeight="1">
      <c r="A91" s="6" t="s">
        <v>409</v>
      </c>
      <c r="B91" s="6" t="s">
        <v>410</v>
      </c>
      <c r="C91" s="5" t="s">
        <v>316</v>
      </c>
      <c r="D91" s="5" t="s">
        <v>411</v>
      </c>
      <c r="G91" s="6" t="s">
        <v>412</v>
      </c>
    </row>
    <row r="92" spans="1:7" ht="15" customHeight="1">
      <c r="A92" s="6" t="s">
        <v>413</v>
      </c>
      <c r="B92" s="6" t="s">
        <v>414</v>
      </c>
      <c r="C92" s="5" t="s">
        <v>415</v>
      </c>
      <c r="D92" s="5" t="s">
        <v>416</v>
      </c>
      <c r="G92" s="6" t="s">
        <v>417</v>
      </c>
    </row>
    <row r="93" spans="1:7" ht="15" customHeight="1">
      <c r="A93" s="6" t="s">
        <v>418</v>
      </c>
      <c r="B93" s="6" t="s">
        <v>419</v>
      </c>
      <c r="C93" s="5" t="s">
        <v>420</v>
      </c>
      <c r="D93" s="5" t="s">
        <v>421</v>
      </c>
      <c r="G93" s="6" t="s">
        <v>422</v>
      </c>
    </row>
    <row r="94" spans="1:7" ht="15" customHeight="1">
      <c r="A94" s="6" t="s">
        <v>423</v>
      </c>
      <c r="B94" s="6" t="s">
        <v>424</v>
      </c>
      <c r="C94" s="5" t="s">
        <v>401</v>
      </c>
      <c r="D94" s="5" t="s">
        <v>402</v>
      </c>
      <c r="G94" s="6" t="s">
        <v>425</v>
      </c>
    </row>
    <row r="95" spans="1:7" ht="15" customHeight="1">
      <c r="A95" s="6" t="s">
        <v>426</v>
      </c>
      <c r="B95" s="6" t="s">
        <v>427</v>
      </c>
      <c r="C95" s="5" t="s">
        <v>428</v>
      </c>
      <c r="D95" s="5" t="s">
        <v>429</v>
      </c>
      <c r="G95" s="6" t="s">
        <v>430</v>
      </c>
    </row>
    <row r="96" spans="1:7" ht="15" customHeight="1">
      <c r="A96" s="6" t="s">
        <v>431</v>
      </c>
      <c r="B96" s="6" t="s">
        <v>432</v>
      </c>
      <c r="C96" s="5" t="s">
        <v>433</v>
      </c>
      <c r="D96" s="5" t="s">
        <v>434</v>
      </c>
      <c r="G96" s="6" t="s">
        <v>435</v>
      </c>
    </row>
    <row r="97" spans="1:7" ht="15" customHeight="1">
      <c r="A97" s="6" t="s">
        <v>436</v>
      </c>
      <c r="B97" s="6" t="s">
        <v>437</v>
      </c>
      <c r="C97" s="5" t="s">
        <v>438</v>
      </c>
      <c r="D97" s="5" t="s">
        <v>439</v>
      </c>
      <c r="G97" s="6" t="s">
        <v>440</v>
      </c>
    </row>
    <row r="98" spans="1:7" ht="15" customHeight="1">
      <c r="A98" s="6" t="s">
        <v>441</v>
      </c>
      <c r="B98" s="6" t="s">
        <v>442</v>
      </c>
      <c r="C98" s="5" t="s">
        <v>443</v>
      </c>
      <c r="D98" s="5" t="s">
        <v>444</v>
      </c>
      <c r="G98" s="6" t="s">
        <v>445</v>
      </c>
    </row>
    <row r="99" spans="1:7" ht="15" customHeight="1">
      <c r="A99" s="6" t="s">
        <v>446</v>
      </c>
      <c r="B99" s="6" t="s">
        <v>447</v>
      </c>
      <c r="C99" s="5" t="s">
        <v>448</v>
      </c>
      <c r="D99" s="5" t="s">
        <v>434</v>
      </c>
      <c r="G99" s="6" t="s">
        <v>449</v>
      </c>
    </row>
    <row r="100" spans="1:7" ht="15" customHeight="1">
      <c r="A100" s="6" t="s">
        <v>450</v>
      </c>
      <c r="B100" s="6" t="s">
        <v>451</v>
      </c>
      <c r="C100" s="5" t="s">
        <v>452</v>
      </c>
      <c r="D100" s="5" t="s">
        <v>453</v>
      </c>
      <c r="G100" s="6" t="s">
        <v>454</v>
      </c>
    </row>
    <row r="101" spans="1:7" ht="15" customHeight="1">
      <c r="A101" s="6" t="s">
        <v>455</v>
      </c>
      <c r="B101" s="6" t="s">
        <v>456</v>
      </c>
      <c r="C101" s="5" t="s">
        <v>457</v>
      </c>
      <c r="D101" s="5" t="s">
        <v>458</v>
      </c>
      <c r="G101" s="6" t="s">
        <v>459</v>
      </c>
    </row>
    <row r="102" spans="1:7" ht="15" customHeight="1">
      <c r="A102" s="6" t="s">
        <v>460</v>
      </c>
      <c r="B102" s="6" t="s">
        <v>461</v>
      </c>
      <c r="C102" s="5" t="s">
        <v>462</v>
      </c>
      <c r="D102" s="5" t="s">
        <v>463</v>
      </c>
      <c r="G102" s="6" t="s">
        <v>464</v>
      </c>
    </row>
    <row r="103" spans="1:7" ht="15" customHeight="1">
      <c r="A103" s="6" t="s">
        <v>465</v>
      </c>
      <c r="B103" s="6" t="s">
        <v>466</v>
      </c>
      <c r="C103" s="5" t="s">
        <v>467</v>
      </c>
      <c r="D103" s="5" t="s">
        <v>468</v>
      </c>
      <c r="G103" s="6" t="s">
        <v>469</v>
      </c>
    </row>
    <row r="104" spans="1:7" ht="15" customHeight="1">
      <c r="A104" s="6" t="s">
        <v>470</v>
      </c>
      <c r="B104" s="6" t="s">
        <v>471</v>
      </c>
      <c r="C104" s="5" t="s">
        <v>472</v>
      </c>
      <c r="D104" s="5" t="s">
        <v>473</v>
      </c>
      <c r="G104" s="6" t="s">
        <v>474</v>
      </c>
    </row>
    <row r="105" spans="1:7" ht="15" customHeight="1">
      <c r="A105" s="6" t="s">
        <v>475</v>
      </c>
      <c r="B105" s="6" t="s">
        <v>476</v>
      </c>
      <c r="C105" s="5" t="s">
        <v>477</v>
      </c>
      <c r="D105" s="5" t="s">
        <v>478</v>
      </c>
      <c r="G105" s="6" t="s">
        <v>479</v>
      </c>
    </row>
    <row r="106" spans="1:7" ht="15" customHeight="1">
      <c r="A106" s="6" t="s">
        <v>480</v>
      </c>
      <c r="B106" s="6" t="s">
        <v>481</v>
      </c>
      <c r="C106" s="5" t="s">
        <v>482</v>
      </c>
      <c r="D106" s="5" t="s">
        <v>483</v>
      </c>
      <c r="G106" s="6" t="s">
        <v>484</v>
      </c>
    </row>
    <row r="107" spans="1:7" ht="15" customHeight="1">
      <c r="A107" s="6" t="s">
        <v>485</v>
      </c>
      <c r="B107" s="6" t="s">
        <v>486</v>
      </c>
      <c r="C107" s="5" t="s">
        <v>487</v>
      </c>
      <c r="D107" s="5" t="s">
        <v>488</v>
      </c>
      <c r="G107" s="6" t="s">
        <v>489</v>
      </c>
    </row>
    <row r="108" spans="1:7" ht="15" customHeight="1">
      <c r="A108" s="6" t="s">
        <v>490</v>
      </c>
      <c r="B108" s="6" t="s">
        <v>491</v>
      </c>
      <c r="C108" s="5" t="s">
        <v>492</v>
      </c>
      <c r="D108" s="5" t="s">
        <v>307</v>
      </c>
      <c r="G108" s="6" t="s">
        <v>493</v>
      </c>
    </row>
    <row r="109" spans="1:7" ht="15" customHeight="1">
      <c r="A109" s="6" t="s">
        <v>494</v>
      </c>
      <c r="B109" s="6" t="s">
        <v>495</v>
      </c>
      <c r="C109" s="5" t="s">
        <v>496</v>
      </c>
      <c r="D109" s="5" t="s">
        <v>497</v>
      </c>
      <c r="G109" s="6" t="s">
        <v>498</v>
      </c>
    </row>
    <row r="110" spans="1:7" ht="15" customHeight="1">
      <c r="A110" s="6" t="s">
        <v>499</v>
      </c>
      <c r="B110" s="6" t="s">
        <v>500</v>
      </c>
      <c r="C110" s="5" t="s">
        <v>501</v>
      </c>
      <c r="D110" s="5" t="s">
        <v>502</v>
      </c>
      <c r="G110" s="6" t="s">
        <v>503</v>
      </c>
    </row>
    <row r="111" spans="1:7" ht="15" customHeight="1">
      <c r="A111" s="6" t="s">
        <v>504</v>
      </c>
      <c r="B111" s="6" t="s">
        <v>505</v>
      </c>
      <c r="C111" s="5" t="s">
        <v>306</v>
      </c>
      <c r="D111" s="5" t="s">
        <v>506</v>
      </c>
      <c r="G111" s="6" t="s">
        <v>507</v>
      </c>
    </row>
    <row r="112" spans="1:7" ht="15" customHeight="1">
      <c r="A112" s="6" t="s">
        <v>508</v>
      </c>
      <c r="B112" s="6" t="s">
        <v>509</v>
      </c>
      <c r="C112" s="5" t="s">
        <v>510</v>
      </c>
      <c r="D112" s="5"/>
      <c r="G112" s="6" t="s">
        <v>511</v>
      </c>
    </row>
    <row r="113" spans="1:7" ht="15" customHeight="1">
      <c r="A113" s="6" t="s">
        <v>512</v>
      </c>
      <c r="B113" s="6" t="s">
        <v>513</v>
      </c>
      <c r="C113" s="5" t="s">
        <v>428</v>
      </c>
      <c r="D113" s="5" t="s">
        <v>514</v>
      </c>
      <c r="G113" s="6" t="s">
        <v>515</v>
      </c>
    </row>
    <row r="114" spans="1:7" ht="15" customHeight="1">
      <c r="A114" s="6" t="s">
        <v>516</v>
      </c>
      <c r="B114" s="6" t="s">
        <v>517</v>
      </c>
      <c r="C114" s="5" t="s">
        <v>518</v>
      </c>
      <c r="D114" s="5" t="s">
        <v>519</v>
      </c>
      <c r="G114" s="6" t="s">
        <v>520</v>
      </c>
    </row>
    <row r="115" spans="1:7" ht="15" customHeight="1">
      <c r="A115" s="6" t="s">
        <v>521</v>
      </c>
      <c r="B115" s="6" t="s">
        <v>522</v>
      </c>
      <c r="C115" s="5" t="s">
        <v>523</v>
      </c>
      <c r="D115" s="5" t="s">
        <v>524</v>
      </c>
      <c r="G115" s="6" t="s">
        <v>525</v>
      </c>
    </row>
    <row r="116" spans="1:7" ht="15" customHeight="1">
      <c r="A116" s="6" t="s">
        <v>526</v>
      </c>
      <c r="B116" s="6" t="s">
        <v>527</v>
      </c>
      <c r="C116" s="5" t="s">
        <v>528</v>
      </c>
      <c r="D116" s="5" t="s">
        <v>529</v>
      </c>
      <c r="G116" s="6" t="s">
        <v>530</v>
      </c>
    </row>
    <row r="117" spans="1:7" ht="15" customHeight="1">
      <c r="A117" s="6" t="s">
        <v>531</v>
      </c>
      <c r="B117" s="6" t="s">
        <v>532</v>
      </c>
      <c r="C117" s="5" t="s">
        <v>316</v>
      </c>
      <c r="D117" s="5" t="s">
        <v>411</v>
      </c>
      <c r="G117" s="6" t="s">
        <v>533</v>
      </c>
    </row>
    <row r="118" spans="1:7" ht="15" customHeight="1">
      <c r="A118" s="6" t="s">
        <v>534</v>
      </c>
      <c r="B118" s="6" t="s">
        <v>535</v>
      </c>
      <c r="C118" s="5" t="s">
        <v>536</v>
      </c>
      <c r="D118" s="5" t="s">
        <v>537</v>
      </c>
      <c r="G118" s="6" t="s">
        <v>538</v>
      </c>
    </row>
    <row r="119" spans="1:7" ht="15" customHeight="1">
      <c r="A119" s="6" t="s">
        <v>539</v>
      </c>
      <c r="B119" s="6" t="s">
        <v>540</v>
      </c>
      <c r="C119" s="5" t="s">
        <v>541</v>
      </c>
      <c r="D119" s="5" t="s">
        <v>542</v>
      </c>
      <c r="G119" s="6" t="s">
        <v>543</v>
      </c>
    </row>
    <row r="120" spans="1:7" ht="15" customHeight="1">
      <c r="A120" s="6" t="s">
        <v>544</v>
      </c>
      <c r="B120" s="6" t="s">
        <v>545</v>
      </c>
      <c r="C120" s="5" t="s">
        <v>546</v>
      </c>
      <c r="D120" s="5" t="s">
        <v>547</v>
      </c>
      <c r="G120" s="6" t="s">
        <v>548</v>
      </c>
    </row>
    <row r="121" spans="1:7" ht="15" customHeight="1">
      <c r="A121" s="6" t="s">
        <v>549</v>
      </c>
      <c r="B121" s="6" t="s">
        <v>550</v>
      </c>
      <c r="C121" s="5" t="s">
        <v>551</v>
      </c>
      <c r="D121" s="5" t="s">
        <v>552</v>
      </c>
      <c r="G121" s="6" t="s">
        <v>553</v>
      </c>
    </row>
    <row r="122" spans="1:7" ht="15" customHeight="1">
      <c r="A122" s="6" t="s">
        <v>554</v>
      </c>
      <c r="B122" s="6" t="s">
        <v>555</v>
      </c>
      <c r="C122" s="5" t="s">
        <v>556</v>
      </c>
      <c r="D122" s="5" t="s">
        <v>557</v>
      </c>
      <c r="G122" s="6" t="s">
        <v>558</v>
      </c>
    </row>
    <row r="123" spans="1:7" ht="15" customHeight="1">
      <c r="A123" s="6" t="s">
        <v>559</v>
      </c>
      <c r="B123" s="6" t="s">
        <v>560</v>
      </c>
      <c r="C123" s="5" t="s">
        <v>561</v>
      </c>
      <c r="D123" s="5" t="s">
        <v>562</v>
      </c>
      <c r="G123" s="6" t="s">
        <v>563</v>
      </c>
    </row>
    <row r="124" spans="1:7" ht="15" customHeight="1">
      <c r="A124" s="6" t="s">
        <v>564</v>
      </c>
      <c r="B124" s="6" t="s">
        <v>565</v>
      </c>
      <c r="C124" s="5" t="s">
        <v>566</v>
      </c>
      <c r="D124" s="5" t="s">
        <v>567</v>
      </c>
      <c r="G124" s="6" t="s">
        <v>568</v>
      </c>
    </row>
    <row r="125" spans="1:7" ht="15" customHeight="1">
      <c r="A125" s="6" t="s">
        <v>569</v>
      </c>
      <c r="B125" s="6" t="s">
        <v>570</v>
      </c>
      <c r="C125" s="5" t="s">
        <v>571</v>
      </c>
      <c r="D125" s="5" t="s">
        <v>572</v>
      </c>
      <c r="G125" s="6" t="s">
        <v>573</v>
      </c>
    </row>
    <row r="126" spans="1:7" ht="15" customHeight="1">
      <c r="A126" s="6" t="s">
        <v>574</v>
      </c>
      <c r="B126" s="6" t="s">
        <v>575</v>
      </c>
      <c r="C126" s="5" t="s">
        <v>576</v>
      </c>
      <c r="D126" s="5" t="s">
        <v>577</v>
      </c>
      <c r="G126" s="6" t="s">
        <v>578</v>
      </c>
    </row>
    <row r="127" spans="1:7" ht="15" customHeight="1">
      <c r="A127" s="6" t="s">
        <v>579</v>
      </c>
      <c r="B127" s="6" t="s">
        <v>580</v>
      </c>
      <c r="C127" s="5" t="s">
        <v>581</v>
      </c>
      <c r="D127" s="5" t="s">
        <v>582</v>
      </c>
      <c r="G127" s="6" t="s">
        <v>583</v>
      </c>
    </row>
    <row r="128" spans="1:7" ht="15" customHeight="1">
      <c r="A128" s="6" t="s">
        <v>584</v>
      </c>
      <c r="B128" s="6" t="s">
        <v>585</v>
      </c>
      <c r="C128" s="5" t="s">
        <v>586</v>
      </c>
      <c r="D128" s="5" t="s">
        <v>587</v>
      </c>
      <c r="G128" s="6" t="s">
        <v>588</v>
      </c>
    </row>
    <row r="129" spans="1:7" ht="15" customHeight="1">
      <c r="A129" s="6" t="s">
        <v>589</v>
      </c>
      <c r="B129" s="6" t="s">
        <v>590</v>
      </c>
      <c r="C129" s="5" t="s">
        <v>591</v>
      </c>
      <c r="D129" s="5" t="s">
        <v>592</v>
      </c>
      <c r="G129" s="6" t="s">
        <v>593</v>
      </c>
    </row>
    <row r="130" spans="1:7" ht="15" customHeight="1">
      <c r="A130" s="6" t="s">
        <v>594</v>
      </c>
      <c r="B130" s="6" t="s">
        <v>595</v>
      </c>
      <c r="C130" s="5" t="s">
        <v>596</v>
      </c>
      <c r="D130" s="5" t="s">
        <v>597</v>
      </c>
      <c r="G130" s="6" t="s">
        <v>598</v>
      </c>
    </row>
    <row r="131" spans="1:7" ht="15" customHeight="1">
      <c r="A131" s="6" t="s">
        <v>599</v>
      </c>
      <c r="B131" s="6" t="s">
        <v>600</v>
      </c>
      <c r="C131" s="5" t="s">
        <v>601</v>
      </c>
      <c r="D131" s="5"/>
      <c r="G131" s="6" t="s">
        <v>602</v>
      </c>
    </row>
    <row r="132" spans="1:7" ht="15" customHeight="1">
      <c r="A132" s="6" t="s">
        <v>603</v>
      </c>
      <c r="B132" s="6" t="s">
        <v>604</v>
      </c>
      <c r="C132" s="5" t="s">
        <v>605</v>
      </c>
      <c r="D132" s="5" t="s">
        <v>606</v>
      </c>
      <c r="G132" s="6" t="s">
        <v>607</v>
      </c>
    </row>
    <row r="133" spans="1:7" ht="15" customHeight="1">
      <c r="A133" s="6" t="s">
        <v>608</v>
      </c>
      <c r="B133" s="6" t="s">
        <v>609</v>
      </c>
      <c r="C133" s="5" t="s">
        <v>610</v>
      </c>
      <c r="D133" s="5" t="s">
        <v>611</v>
      </c>
      <c r="G133" s="6" t="s">
        <v>612</v>
      </c>
    </row>
    <row r="134" spans="1:7" ht="15" customHeight="1">
      <c r="A134" s="6" t="s">
        <v>613</v>
      </c>
      <c r="B134" s="6" t="s">
        <v>614</v>
      </c>
      <c r="C134" s="5" t="s">
        <v>615</v>
      </c>
      <c r="D134" s="5" t="s">
        <v>157</v>
      </c>
      <c r="G134" s="6" t="s">
        <v>616</v>
      </c>
    </row>
    <row r="135" spans="1:7" ht="15" customHeight="1">
      <c r="A135" s="6" t="s">
        <v>617</v>
      </c>
      <c r="B135" s="6" t="s">
        <v>618</v>
      </c>
      <c r="C135" s="5" t="s">
        <v>619</v>
      </c>
      <c r="D135" s="5" t="s">
        <v>620</v>
      </c>
      <c r="G135" s="6" t="s">
        <v>621</v>
      </c>
    </row>
    <row r="136" spans="1:7" ht="15" customHeight="1">
      <c r="A136" s="6" t="s">
        <v>622</v>
      </c>
      <c r="B136" s="6" t="s">
        <v>623</v>
      </c>
      <c r="C136" s="5" t="s">
        <v>624</v>
      </c>
      <c r="D136" s="5" t="s">
        <v>625</v>
      </c>
      <c r="G136" s="6" t="s">
        <v>626</v>
      </c>
    </row>
    <row r="137" spans="1:7" ht="15" customHeight="1">
      <c r="A137" s="6" t="s">
        <v>627</v>
      </c>
      <c r="B137" s="6" t="s">
        <v>628</v>
      </c>
      <c r="C137" s="5" t="s">
        <v>629</v>
      </c>
      <c r="D137" s="5" t="s">
        <v>630</v>
      </c>
      <c r="G137" s="6" t="s">
        <v>631</v>
      </c>
    </row>
    <row r="138" spans="1:7" ht="15" customHeight="1">
      <c r="A138" s="6" t="s">
        <v>632</v>
      </c>
      <c r="B138" s="6" t="s">
        <v>633</v>
      </c>
      <c r="C138" s="5" t="s">
        <v>634</v>
      </c>
      <c r="D138" s="5" t="s">
        <v>635</v>
      </c>
      <c r="G138" s="6" t="s">
        <v>636</v>
      </c>
    </row>
    <row r="139" spans="1:7" ht="15" customHeight="1">
      <c r="A139" s="6" t="s">
        <v>637</v>
      </c>
      <c r="B139" s="6" t="s">
        <v>638</v>
      </c>
      <c r="C139" s="5" t="s">
        <v>639</v>
      </c>
      <c r="D139" s="5" t="s">
        <v>640</v>
      </c>
      <c r="G139" s="6" t="s">
        <v>641</v>
      </c>
    </row>
    <row r="140" spans="1:7" ht="15" customHeight="1">
      <c r="A140" s="6" t="s">
        <v>642</v>
      </c>
      <c r="B140" s="6" t="s">
        <v>643</v>
      </c>
      <c r="C140" s="5" t="s">
        <v>644</v>
      </c>
      <c r="D140" s="5" t="s">
        <v>463</v>
      </c>
      <c r="G140" s="6" t="s">
        <v>645</v>
      </c>
    </row>
    <row r="141" spans="1:7" ht="15" customHeight="1">
      <c r="A141" s="6" t="s">
        <v>646</v>
      </c>
      <c r="B141" s="6" t="s">
        <v>647</v>
      </c>
      <c r="C141" s="5" t="s">
        <v>648</v>
      </c>
      <c r="D141" s="5" t="s">
        <v>649</v>
      </c>
      <c r="G141" s="6" t="s">
        <v>650</v>
      </c>
    </row>
    <row r="142" spans="1:7" ht="15" customHeight="1">
      <c r="A142" s="6" t="s">
        <v>651</v>
      </c>
      <c r="B142" s="6" t="s">
        <v>652</v>
      </c>
      <c r="C142" s="5" t="s">
        <v>653</v>
      </c>
      <c r="D142" s="5" t="s">
        <v>654</v>
      </c>
      <c r="G142" s="6" t="s">
        <v>655</v>
      </c>
    </row>
    <row r="143" spans="1:7" ht="15" customHeight="1">
      <c r="A143" s="6" t="s">
        <v>656</v>
      </c>
      <c r="B143" s="6" t="s">
        <v>657</v>
      </c>
      <c r="C143" s="5" t="s">
        <v>658</v>
      </c>
      <c r="D143" s="5" t="s">
        <v>659</v>
      </c>
      <c r="G143" s="6" t="s">
        <v>660</v>
      </c>
    </row>
    <row r="144" spans="1:7" ht="15" customHeight="1">
      <c r="A144" s="6" t="s">
        <v>661</v>
      </c>
      <c r="B144" s="6" t="s">
        <v>662</v>
      </c>
      <c r="C144" s="5" t="s">
        <v>663</v>
      </c>
      <c r="D144" s="5" t="s">
        <v>664</v>
      </c>
      <c r="G144" s="6" t="s">
        <v>665</v>
      </c>
    </row>
    <row r="145" spans="1:7" ht="15" customHeight="1">
      <c r="A145" s="6" t="s">
        <v>666</v>
      </c>
      <c r="B145" s="6" t="s">
        <v>667</v>
      </c>
      <c r="C145" s="5" t="s">
        <v>668</v>
      </c>
      <c r="D145" s="5" t="s">
        <v>669</v>
      </c>
      <c r="G145" s="6" t="s">
        <v>670</v>
      </c>
    </row>
    <row r="146" spans="1:7" ht="15" customHeight="1">
      <c r="A146" s="6" t="s">
        <v>671</v>
      </c>
      <c r="B146" s="6" t="s">
        <v>672</v>
      </c>
      <c r="C146" s="5" t="s">
        <v>673</v>
      </c>
      <c r="D146" s="5" t="s">
        <v>674</v>
      </c>
      <c r="G146" s="6" t="s">
        <v>675</v>
      </c>
    </row>
    <row r="147" spans="1:7" ht="15" customHeight="1">
      <c r="A147" s="6" t="s">
        <v>676</v>
      </c>
      <c r="B147" s="6" t="s">
        <v>677</v>
      </c>
      <c r="C147" s="5" t="s">
        <v>536</v>
      </c>
      <c r="D147" s="5" t="s">
        <v>678</v>
      </c>
      <c r="G147" s="6" t="s">
        <v>679</v>
      </c>
    </row>
    <row r="148" spans="1:7" ht="15" customHeight="1">
      <c r="A148" s="6" t="s">
        <v>680</v>
      </c>
      <c r="B148" s="6" t="s">
        <v>681</v>
      </c>
      <c r="C148" s="5" t="s">
        <v>682</v>
      </c>
      <c r="D148" s="5" t="s">
        <v>683</v>
      </c>
      <c r="G148" s="6" t="s">
        <v>684</v>
      </c>
    </row>
    <row r="149" spans="1:7" ht="15" customHeight="1">
      <c r="A149" s="6" t="s">
        <v>685</v>
      </c>
      <c r="B149" s="6" t="s">
        <v>686</v>
      </c>
      <c r="C149" s="5" t="s">
        <v>687</v>
      </c>
      <c r="D149" s="5" t="s">
        <v>688</v>
      </c>
      <c r="G149" s="6" t="s">
        <v>689</v>
      </c>
    </row>
    <row r="150" spans="1:7" ht="15" customHeight="1">
      <c r="A150" s="6" t="s">
        <v>690</v>
      </c>
      <c r="B150" s="6" t="s">
        <v>691</v>
      </c>
      <c r="C150" s="5" t="s">
        <v>692</v>
      </c>
      <c r="D150" s="5" t="s">
        <v>693</v>
      </c>
      <c r="G150" s="6" t="s">
        <v>694</v>
      </c>
    </row>
    <row r="151" spans="1:7" ht="15" customHeight="1">
      <c r="A151" s="6" t="s">
        <v>695</v>
      </c>
      <c r="B151" s="6" t="s">
        <v>696</v>
      </c>
      <c r="C151" s="5" t="s">
        <v>697</v>
      </c>
      <c r="D151" s="5" t="s">
        <v>698</v>
      </c>
      <c r="G151" s="6" t="s">
        <v>699</v>
      </c>
    </row>
    <row r="152" spans="1:7" ht="15" customHeight="1">
      <c r="A152" s="6" t="s">
        <v>700</v>
      </c>
      <c r="B152" s="6" t="s">
        <v>701</v>
      </c>
      <c r="C152" s="5" t="s">
        <v>702</v>
      </c>
      <c r="D152" s="5" t="s">
        <v>703</v>
      </c>
      <c r="G152" s="6" t="s">
        <v>704</v>
      </c>
    </row>
    <row r="153" spans="1:7" ht="15" customHeight="1">
      <c r="A153" s="6" t="s">
        <v>705</v>
      </c>
      <c r="B153" s="6" t="s">
        <v>706</v>
      </c>
      <c r="C153" s="5" t="s">
        <v>707</v>
      </c>
      <c r="D153" s="5" t="s">
        <v>708</v>
      </c>
      <c r="G153" s="6" t="s">
        <v>709</v>
      </c>
    </row>
    <row r="154" spans="1:7" ht="15" customHeight="1">
      <c r="A154" s="6" t="s">
        <v>710</v>
      </c>
      <c r="B154" s="6" t="s">
        <v>711</v>
      </c>
      <c r="C154" s="5" t="s">
        <v>712</v>
      </c>
      <c r="D154" s="5" t="s">
        <v>713</v>
      </c>
      <c r="G154" s="6" t="s">
        <v>714</v>
      </c>
    </row>
    <row r="155" spans="1:7" ht="15" customHeight="1">
      <c r="A155" s="6" t="s">
        <v>715</v>
      </c>
      <c r="B155" s="6" t="s">
        <v>716</v>
      </c>
      <c r="C155" s="5" t="s">
        <v>717</v>
      </c>
      <c r="D155" s="5" t="s">
        <v>718</v>
      </c>
      <c r="G155" s="6" t="s">
        <v>719</v>
      </c>
    </row>
    <row r="156" spans="1:7" ht="15" customHeight="1">
      <c r="A156" s="6" t="s">
        <v>720</v>
      </c>
      <c r="B156" s="6" t="s">
        <v>721</v>
      </c>
      <c r="C156" s="5" t="s">
        <v>722</v>
      </c>
      <c r="D156" s="5" t="s">
        <v>723</v>
      </c>
      <c r="G156" s="6" t="s">
        <v>724</v>
      </c>
    </row>
    <row r="157" spans="1:7" ht="15" customHeight="1">
      <c r="A157" s="6" t="s">
        <v>725</v>
      </c>
      <c r="B157" s="6" t="s">
        <v>726</v>
      </c>
      <c r="C157" s="5" t="s">
        <v>727</v>
      </c>
      <c r="D157" s="5" t="s">
        <v>728</v>
      </c>
      <c r="G157" s="6" t="s">
        <v>729</v>
      </c>
    </row>
    <row r="158" spans="1:7" ht="15" customHeight="1">
      <c r="A158" s="6" t="s">
        <v>730</v>
      </c>
      <c r="B158" s="6" t="s">
        <v>731</v>
      </c>
      <c r="C158" s="5" t="s">
        <v>732</v>
      </c>
      <c r="D158" s="5" t="s">
        <v>733</v>
      </c>
      <c r="G158" s="6" t="s">
        <v>734</v>
      </c>
    </row>
    <row r="159" spans="1:7" ht="15" customHeight="1">
      <c r="A159" s="6" t="s">
        <v>735</v>
      </c>
      <c r="B159" s="6" t="s">
        <v>736</v>
      </c>
      <c r="C159" s="5" t="s">
        <v>737</v>
      </c>
      <c r="D159" s="5" t="s">
        <v>738</v>
      </c>
      <c r="G159" s="6" t="s">
        <v>739</v>
      </c>
    </row>
    <row r="160" spans="1:7" ht="15" customHeight="1">
      <c r="A160" s="6" t="s">
        <v>740</v>
      </c>
      <c r="B160" s="6" t="s">
        <v>741</v>
      </c>
      <c r="C160" s="5" t="s">
        <v>742</v>
      </c>
      <c r="D160" s="5" t="s">
        <v>743</v>
      </c>
      <c r="G160" s="6" t="s">
        <v>744</v>
      </c>
    </row>
    <row r="161" spans="1:7" ht="15" customHeight="1">
      <c r="A161" s="6" t="s">
        <v>745</v>
      </c>
      <c r="B161" s="6" t="s">
        <v>746</v>
      </c>
      <c r="C161" s="5" t="s">
        <v>747</v>
      </c>
      <c r="D161" s="5" t="s">
        <v>748</v>
      </c>
      <c r="G161" s="6" t="s">
        <v>749</v>
      </c>
    </row>
    <row r="162" spans="1:7" ht="15" customHeight="1">
      <c r="A162" s="6" t="s">
        <v>750</v>
      </c>
      <c r="B162" s="6" t="s">
        <v>751</v>
      </c>
      <c r="C162" s="5" t="s">
        <v>752</v>
      </c>
      <c r="D162" s="5" t="s">
        <v>753</v>
      </c>
      <c r="G162" s="6" t="s">
        <v>754</v>
      </c>
    </row>
    <row r="163" spans="1:7" ht="15" customHeight="1">
      <c r="A163" s="6" t="s">
        <v>755</v>
      </c>
      <c r="B163" s="6" t="s">
        <v>756</v>
      </c>
      <c r="C163" s="5" t="s">
        <v>757</v>
      </c>
      <c r="D163" s="5" t="s">
        <v>758</v>
      </c>
      <c r="G163" s="6" t="s">
        <v>759</v>
      </c>
    </row>
    <row r="164" spans="1:7" ht="15" customHeight="1">
      <c r="A164" s="6" t="s">
        <v>760</v>
      </c>
      <c r="B164" s="6" t="s">
        <v>761</v>
      </c>
      <c r="C164" s="5" t="s">
        <v>762</v>
      </c>
      <c r="D164" s="5" t="s">
        <v>763</v>
      </c>
      <c r="G164" s="6" t="s">
        <v>764</v>
      </c>
    </row>
    <row r="165" spans="1:7" ht="15" customHeight="1">
      <c r="A165" s="6" t="s">
        <v>765</v>
      </c>
      <c r="B165" s="6" t="s">
        <v>766</v>
      </c>
      <c r="C165" s="5" t="s">
        <v>767</v>
      </c>
      <c r="D165" s="5" t="s">
        <v>768</v>
      </c>
      <c r="G165" s="6" t="s">
        <v>769</v>
      </c>
    </row>
    <row r="166" spans="1:7" ht="15" customHeight="1">
      <c r="A166" s="6" t="s">
        <v>770</v>
      </c>
      <c r="B166" s="6" t="s">
        <v>771</v>
      </c>
      <c r="C166" s="5" t="s">
        <v>772</v>
      </c>
      <c r="D166" s="5" t="s">
        <v>773</v>
      </c>
      <c r="G166" s="6" t="s">
        <v>774</v>
      </c>
    </row>
    <row r="167" spans="1:7" ht="15" customHeight="1">
      <c r="A167" s="6" t="s">
        <v>775</v>
      </c>
      <c r="B167" s="6" t="s">
        <v>776</v>
      </c>
      <c r="C167" s="5" t="s">
        <v>184</v>
      </c>
      <c r="D167" s="5" t="s">
        <v>777</v>
      </c>
      <c r="G167" s="6" t="s">
        <v>778</v>
      </c>
    </row>
    <row r="168" spans="1:7" ht="15" customHeight="1">
      <c r="A168" s="6" t="s">
        <v>779</v>
      </c>
      <c r="B168" s="6" t="s">
        <v>780</v>
      </c>
      <c r="C168" s="5" t="s">
        <v>781</v>
      </c>
      <c r="D168" s="5" t="s">
        <v>782</v>
      </c>
      <c r="G168" s="6" t="s">
        <v>783</v>
      </c>
    </row>
    <row r="169" spans="1:7" ht="15" customHeight="1">
      <c r="A169" s="6" t="s">
        <v>784</v>
      </c>
      <c r="B169" s="6" t="s">
        <v>785</v>
      </c>
      <c r="C169" s="5" t="s">
        <v>786</v>
      </c>
      <c r="D169" s="5" t="s">
        <v>787</v>
      </c>
      <c r="G169" s="6" t="s">
        <v>788</v>
      </c>
    </row>
    <row r="170" spans="1:7" ht="15" customHeight="1">
      <c r="A170" s="6" t="s">
        <v>789</v>
      </c>
      <c r="B170" s="6" t="s">
        <v>790</v>
      </c>
      <c r="C170" s="5" t="s">
        <v>791</v>
      </c>
      <c r="D170" s="5" t="s">
        <v>792</v>
      </c>
      <c r="G170" s="6" t="s">
        <v>793</v>
      </c>
    </row>
    <row r="171" spans="1:7" ht="15" customHeight="1">
      <c r="A171" s="6" t="s">
        <v>794</v>
      </c>
      <c r="B171" s="6" t="s">
        <v>795</v>
      </c>
      <c r="C171" s="5" t="s">
        <v>796</v>
      </c>
      <c r="D171" s="5" t="s">
        <v>797</v>
      </c>
      <c r="G171" s="6" t="s">
        <v>798</v>
      </c>
    </row>
    <row r="172" spans="1:7" ht="15" customHeight="1">
      <c r="A172" s="6" t="s">
        <v>799</v>
      </c>
      <c r="B172" s="6" t="s">
        <v>800</v>
      </c>
      <c r="C172" s="5" t="s">
        <v>801</v>
      </c>
      <c r="D172" s="5" t="s">
        <v>439</v>
      </c>
      <c r="G172" s="6" t="s">
        <v>802</v>
      </c>
    </row>
    <row r="173" spans="1:7" ht="15" customHeight="1">
      <c r="A173" s="6" t="s">
        <v>803</v>
      </c>
      <c r="B173" s="6" t="s">
        <v>804</v>
      </c>
      <c r="C173" s="5" t="s">
        <v>805</v>
      </c>
      <c r="D173" s="5" t="s">
        <v>806</v>
      </c>
      <c r="G173" s="6" t="s">
        <v>807</v>
      </c>
    </row>
    <row r="174" spans="1:7" ht="15" customHeight="1">
      <c r="A174" s="6" t="s">
        <v>808</v>
      </c>
      <c r="B174" s="6" t="s">
        <v>809</v>
      </c>
      <c r="C174" s="5" t="s">
        <v>810</v>
      </c>
      <c r="D174" s="5" t="s">
        <v>811</v>
      </c>
      <c r="G174" s="6" t="s">
        <v>812</v>
      </c>
    </row>
    <row r="175" spans="1:7" ht="15" customHeight="1">
      <c r="A175" s="6" t="s">
        <v>813</v>
      </c>
      <c r="B175" s="6" t="s">
        <v>814</v>
      </c>
      <c r="C175" s="5" t="s">
        <v>815</v>
      </c>
      <c r="D175" s="5" t="s">
        <v>816</v>
      </c>
      <c r="G175" s="6" t="s">
        <v>817</v>
      </c>
    </row>
    <row r="176" spans="1:7" ht="15" customHeight="1">
      <c r="A176" s="6" t="s">
        <v>818</v>
      </c>
      <c r="B176" s="6" t="s">
        <v>819</v>
      </c>
      <c r="C176" s="5" t="s">
        <v>820</v>
      </c>
      <c r="D176" s="5" t="s">
        <v>337</v>
      </c>
      <c r="G176" s="6" t="s">
        <v>821</v>
      </c>
    </row>
    <row r="177" spans="1:7" ht="15" customHeight="1">
      <c r="A177" s="6" t="s">
        <v>822</v>
      </c>
      <c r="B177" s="6" t="s">
        <v>823</v>
      </c>
      <c r="C177" s="5" t="s">
        <v>510</v>
      </c>
      <c r="D177" s="5" t="s">
        <v>824</v>
      </c>
      <c r="G177" s="6" t="s">
        <v>825</v>
      </c>
    </row>
    <row r="178" spans="1:7" ht="15" customHeight="1">
      <c r="A178" s="6" t="s">
        <v>826</v>
      </c>
      <c r="B178" s="6" t="s">
        <v>827</v>
      </c>
      <c r="C178" s="5" t="s">
        <v>828</v>
      </c>
      <c r="D178" s="5" t="s">
        <v>829</v>
      </c>
      <c r="G178" s="6" t="s">
        <v>830</v>
      </c>
    </row>
    <row r="179" spans="1:7" ht="15" customHeight="1">
      <c r="A179" s="6" t="s">
        <v>831</v>
      </c>
      <c r="B179" s="6" t="s">
        <v>832</v>
      </c>
      <c r="C179" s="5" t="s">
        <v>833</v>
      </c>
      <c r="D179" s="5" t="s">
        <v>834</v>
      </c>
      <c r="G179" s="6" t="s">
        <v>835</v>
      </c>
    </row>
    <row r="180" spans="1:7" ht="15" customHeight="1">
      <c r="A180" s="6" t="s">
        <v>836</v>
      </c>
      <c r="B180" s="6" t="s">
        <v>837</v>
      </c>
      <c r="C180" s="5" t="s">
        <v>838</v>
      </c>
      <c r="D180" s="5" t="s">
        <v>839</v>
      </c>
      <c r="G180" s="6" t="s">
        <v>840</v>
      </c>
    </row>
    <row r="181" spans="1:7" ht="15" customHeight="1">
      <c r="A181" s="6" t="s">
        <v>841</v>
      </c>
      <c r="B181" s="6" t="s">
        <v>842</v>
      </c>
      <c r="C181" s="5" t="s">
        <v>843</v>
      </c>
      <c r="D181" s="5" t="s">
        <v>844</v>
      </c>
      <c r="G181" s="6" t="s">
        <v>845</v>
      </c>
    </row>
    <row r="182" spans="1:7" ht="15" customHeight="1">
      <c r="A182" s="6" t="s">
        <v>846</v>
      </c>
      <c r="B182" s="6" t="s">
        <v>847</v>
      </c>
      <c r="C182" s="5" t="s">
        <v>848</v>
      </c>
      <c r="D182" s="5" t="s">
        <v>849</v>
      </c>
      <c r="G182" s="6" t="s">
        <v>850</v>
      </c>
    </row>
    <row r="183" spans="1:7" ht="15" customHeight="1">
      <c r="A183" s="6" t="s">
        <v>851</v>
      </c>
      <c r="B183" s="6" t="s">
        <v>852</v>
      </c>
      <c r="C183" s="5" t="s">
        <v>853</v>
      </c>
      <c r="D183" s="5" t="s">
        <v>854</v>
      </c>
      <c r="G183" s="6" t="s">
        <v>855</v>
      </c>
    </row>
    <row r="184" spans="1:7" ht="15" customHeight="1">
      <c r="A184" s="6" t="s">
        <v>856</v>
      </c>
      <c r="B184" s="6" t="s">
        <v>857</v>
      </c>
      <c r="C184" s="5" t="s">
        <v>858</v>
      </c>
      <c r="D184" s="5" t="s">
        <v>859</v>
      </c>
      <c r="G184" s="6" t="s">
        <v>860</v>
      </c>
    </row>
    <row r="185" spans="1:7" ht="15" customHeight="1">
      <c r="A185" s="6" t="s">
        <v>861</v>
      </c>
      <c r="B185" s="6" t="s">
        <v>862</v>
      </c>
      <c r="C185" s="5" t="s">
        <v>863</v>
      </c>
      <c r="D185" s="5" t="s">
        <v>864</v>
      </c>
      <c r="G185" s="6" t="s">
        <v>865</v>
      </c>
    </row>
    <row r="186" spans="1:7" ht="15" customHeight="1">
      <c r="A186" s="6" t="s">
        <v>866</v>
      </c>
      <c r="B186" s="6" t="s">
        <v>867</v>
      </c>
      <c r="C186" s="5" t="s">
        <v>868</v>
      </c>
      <c r="D186" s="5" t="s">
        <v>869</v>
      </c>
      <c r="G186" s="6" t="s">
        <v>870</v>
      </c>
    </row>
    <row r="187" spans="1:7" ht="15" customHeight="1">
      <c r="A187" s="6" t="s">
        <v>871</v>
      </c>
      <c r="B187" s="6" t="s">
        <v>872</v>
      </c>
      <c r="C187" s="5" t="s">
        <v>873</v>
      </c>
      <c r="D187" s="5" t="s">
        <v>874</v>
      </c>
      <c r="G187" s="6" t="s">
        <v>875</v>
      </c>
    </row>
    <row r="188" spans="1:7" ht="15" customHeight="1">
      <c r="A188" s="6" t="s">
        <v>876</v>
      </c>
      <c r="B188" s="6" t="s">
        <v>877</v>
      </c>
      <c r="C188" s="5" t="s">
        <v>878</v>
      </c>
      <c r="D188" s="5" t="s">
        <v>879</v>
      </c>
      <c r="G188" s="6" t="s">
        <v>880</v>
      </c>
    </row>
    <row r="189" spans="1:7" ht="15" customHeight="1">
      <c r="A189" s="6" t="s">
        <v>881</v>
      </c>
      <c r="B189" s="6" t="s">
        <v>882</v>
      </c>
      <c r="C189" s="5" t="s">
        <v>820</v>
      </c>
      <c r="D189" s="5" t="s">
        <v>883</v>
      </c>
      <c r="G189" s="6" t="s">
        <v>884</v>
      </c>
    </row>
    <row r="190" spans="1:7" ht="15" customHeight="1">
      <c r="A190" s="6" t="s">
        <v>885</v>
      </c>
      <c r="B190" s="6" t="s">
        <v>886</v>
      </c>
      <c r="C190" s="5" t="s">
        <v>887</v>
      </c>
      <c r="D190" s="5" t="s">
        <v>888</v>
      </c>
      <c r="G190" s="6" t="s">
        <v>889</v>
      </c>
    </row>
    <row r="191" spans="1:7" ht="15" customHeight="1">
      <c r="A191" s="6" t="s">
        <v>890</v>
      </c>
      <c r="B191" s="6" t="s">
        <v>891</v>
      </c>
      <c r="C191" s="5" t="s">
        <v>892</v>
      </c>
      <c r="D191" s="5" t="s">
        <v>893</v>
      </c>
      <c r="G191" s="6" t="s">
        <v>894</v>
      </c>
    </row>
    <row r="192" spans="1:7" ht="15" customHeight="1">
      <c r="A192" s="6" t="s">
        <v>895</v>
      </c>
      <c r="B192" s="6" t="s">
        <v>896</v>
      </c>
      <c r="C192" s="5" t="s">
        <v>897</v>
      </c>
      <c r="D192" s="5" t="s">
        <v>898</v>
      </c>
      <c r="G192" s="6" t="s">
        <v>899</v>
      </c>
    </row>
    <row r="193" spans="1:7" ht="15" customHeight="1">
      <c r="A193" s="6" t="s">
        <v>900</v>
      </c>
      <c r="B193" s="6" t="s">
        <v>901</v>
      </c>
      <c r="C193" s="5" t="s">
        <v>902</v>
      </c>
      <c r="D193" s="5" t="s">
        <v>903</v>
      </c>
      <c r="G193" s="6" t="s">
        <v>904</v>
      </c>
    </row>
    <row r="194" spans="1:7" ht="15" customHeight="1">
      <c r="A194" s="6" t="s">
        <v>905</v>
      </c>
      <c r="B194" s="6" t="s">
        <v>906</v>
      </c>
      <c r="C194" s="5" t="s">
        <v>907</v>
      </c>
      <c r="D194" s="5" t="s">
        <v>908</v>
      </c>
      <c r="G194" s="6" t="s">
        <v>909</v>
      </c>
    </row>
    <row r="195" spans="1:7" ht="15" customHeight="1">
      <c r="A195" s="6" t="s">
        <v>910</v>
      </c>
      <c r="B195" s="6" t="s">
        <v>911</v>
      </c>
      <c r="C195" s="5" t="s">
        <v>912</v>
      </c>
      <c r="D195" s="5" t="s">
        <v>913</v>
      </c>
      <c r="G195" s="6" t="s">
        <v>914</v>
      </c>
    </row>
    <row r="196" spans="1:7" ht="15" customHeight="1">
      <c r="A196" s="6" t="s">
        <v>915</v>
      </c>
      <c r="B196" s="6" t="s">
        <v>916</v>
      </c>
      <c r="C196" s="5" t="s">
        <v>917</v>
      </c>
      <c r="D196" s="5" t="s">
        <v>918</v>
      </c>
      <c r="G196" s="6" t="s">
        <v>919</v>
      </c>
    </row>
    <row r="197" spans="1:7" ht="15" customHeight="1">
      <c r="A197" s="6" t="s">
        <v>920</v>
      </c>
      <c r="B197" s="6" t="s">
        <v>921</v>
      </c>
      <c r="C197" s="5" t="s">
        <v>922</v>
      </c>
      <c r="D197" s="5" t="s">
        <v>923</v>
      </c>
      <c r="G197" s="6" t="s">
        <v>924</v>
      </c>
    </row>
    <row r="198" spans="1:7" ht="15" customHeight="1">
      <c r="A198" s="6" t="s">
        <v>925</v>
      </c>
      <c r="B198" s="6" t="s">
        <v>926</v>
      </c>
      <c r="C198" s="5" t="s">
        <v>927</v>
      </c>
      <c r="D198" s="5" t="s">
        <v>928</v>
      </c>
      <c r="G198" s="6" t="s">
        <v>929</v>
      </c>
    </row>
    <row r="199" spans="1:7" ht="15" customHeight="1">
      <c r="A199" s="6" t="s">
        <v>930</v>
      </c>
      <c r="B199" s="6" t="s">
        <v>931</v>
      </c>
      <c r="C199" s="5" t="s">
        <v>932</v>
      </c>
      <c r="D199" s="5" t="s">
        <v>933</v>
      </c>
      <c r="G199" s="6" t="s">
        <v>934</v>
      </c>
    </row>
    <row r="200" spans="1:7" ht="15" customHeight="1">
      <c r="A200" s="6" t="s">
        <v>935</v>
      </c>
      <c r="B200" s="6" t="s">
        <v>936</v>
      </c>
      <c r="C200" s="5" t="s">
        <v>433</v>
      </c>
      <c r="D200" s="5" t="s">
        <v>434</v>
      </c>
      <c r="G200" s="6" t="s">
        <v>937</v>
      </c>
    </row>
    <row r="201" spans="1:7" ht="15" customHeight="1">
      <c r="A201" s="6" t="s">
        <v>938</v>
      </c>
      <c r="B201" s="6" t="s">
        <v>939</v>
      </c>
      <c r="C201" s="5" t="s">
        <v>940</v>
      </c>
      <c r="D201" s="5" t="s">
        <v>941</v>
      </c>
      <c r="G201" s="6" t="s">
        <v>942</v>
      </c>
    </row>
    <row r="202" spans="1:7" ht="15" customHeight="1">
      <c r="A202" s="6" t="s">
        <v>943</v>
      </c>
      <c r="B202" s="6" t="s">
        <v>944</v>
      </c>
      <c r="C202" s="5" t="s">
        <v>945</v>
      </c>
      <c r="D202" s="5" t="s">
        <v>946</v>
      </c>
      <c r="G202" s="6" t="s">
        <v>947</v>
      </c>
    </row>
    <row r="203" spans="1:7" ht="15" customHeight="1">
      <c r="A203" s="6" t="s">
        <v>948</v>
      </c>
      <c r="B203" s="6" t="s">
        <v>949</v>
      </c>
      <c r="C203" s="5" t="s">
        <v>950</v>
      </c>
      <c r="D203" s="5" t="s">
        <v>951</v>
      </c>
      <c r="G203" s="6" t="s">
        <v>952</v>
      </c>
    </row>
    <row r="204" spans="1:7" ht="15" customHeight="1">
      <c r="A204" s="6" t="s">
        <v>953</v>
      </c>
      <c r="B204" s="6" t="s">
        <v>954</v>
      </c>
      <c r="C204" s="5" t="s">
        <v>955</v>
      </c>
      <c r="D204" s="5" t="s">
        <v>956</v>
      </c>
      <c r="G204" s="6" t="s">
        <v>957</v>
      </c>
    </row>
    <row r="205" spans="1:7" ht="15" customHeight="1">
      <c r="A205" s="6" t="s">
        <v>958</v>
      </c>
      <c r="B205" s="6" t="s">
        <v>959</v>
      </c>
      <c r="C205" s="5" t="s">
        <v>960</v>
      </c>
      <c r="D205" s="5" t="s">
        <v>961</v>
      </c>
      <c r="G205" s="6" t="s">
        <v>962</v>
      </c>
    </row>
    <row r="206" spans="1:7" ht="15" customHeight="1">
      <c r="A206" s="6" t="s">
        <v>963</v>
      </c>
      <c r="B206" s="6" t="s">
        <v>964</v>
      </c>
      <c r="C206" s="5" t="s">
        <v>965</v>
      </c>
      <c r="D206" s="5" t="s">
        <v>966</v>
      </c>
      <c r="G206" s="6" t="s">
        <v>967</v>
      </c>
    </row>
    <row r="207" spans="1:7" ht="15" customHeight="1">
      <c r="A207" s="6" t="s">
        <v>968</v>
      </c>
      <c r="B207" s="6" t="s">
        <v>969</v>
      </c>
      <c r="C207" s="5" t="s">
        <v>970</v>
      </c>
      <c r="D207" s="5" t="s">
        <v>971</v>
      </c>
      <c r="G207" s="6" t="s">
        <v>972</v>
      </c>
    </row>
    <row r="208" spans="1:7" ht="15" customHeight="1">
      <c r="A208" s="6" t="s">
        <v>973</v>
      </c>
      <c r="B208" s="6" t="s">
        <v>974</v>
      </c>
      <c r="C208" s="5" t="s">
        <v>975</v>
      </c>
      <c r="D208" s="5" t="s">
        <v>976</v>
      </c>
      <c r="G208" s="6" t="s">
        <v>977</v>
      </c>
    </row>
    <row r="209" spans="1:7" ht="15" customHeight="1">
      <c r="A209" s="6" t="s">
        <v>978</v>
      </c>
      <c r="B209" s="6" t="s">
        <v>979</v>
      </c>
      <c r="C209" s="5" t="s">
        <v>58</v>
      </c>
      <c r="D209" s="5" t="s">
        <v>980</v>
      </c>
      <c r="G209" s="6" t="s">
        <v>981</v>
      </c>
    </row>
    <row r="210" spans="1:7" ht="15" customHeight="1">
      <c r="A210" s="6" t="s">
        <v>982</v>
      </c>
      <c r="B210" s="6" t="s">
        <v>983</v>
      </c>
      <c r="C210" s="5" t="s">
        <v>984</v>
      </c>
      <c r="D210" s="5" t="s">
        <v>985</v>
      </c>
      <c r="G210" s="6" t="s">
        <v>986</v>
      </c>
    </row>
    <row r="211" spans="1:7" ht="15" customHeight="1">
      <c r="A211" s="6" t="s">
        <v>987</v>
      </c>
      <c r="B211" s="6" t="s">
        <v>988</v>
      </c>
      <c r="C211" s="5" t="s">
        <v>296</v>
      </c>
      <c r="D211" s="5" t="s">
        <v>989</v>
      </c>
      <c r="G211" s="6" t="s">
        <v>990</v>
      </c>
    </row>
    <row r="212" spans="1:7" ht="15" customHeight="1">
      <c r="A212" s="6" t="s">
        <v>991</v>
      </c>
      <c r="B212" s="6" t="s">
        <v>992</v>
      </c>
      <c r="C212" s="5" t="s">
        <v>993</v>
      </c>
      <c r="D212" s="5" t="s">
        <v>994</v>
      </c>
      <c r="G212" s="6" t="s">
        <v>995</v>
      </c>
    </row>
    <row r="213" spans="1:7" ht="15" customHeight="1">
      <c r="A213" s="6" t="s">
        <v>996</v>
      </c>
      <c r="B213" s="6" t="s">
        <v>997</v>
      </c>
      <c r="C213" s="5" t="s">
        <v>998</v>
      </c>
      <c r="D213" s="5" t="s">
        <v>999</v>
      </c>
      <c r="G213" s="6" t="s">
        <v>1000</v>
      </c>
    </row>
    <row r="214" spans="1:7" ht="15" customHeight="1">
      <c r="A214" s="6" t="s">
        <v>1001</v>
      </c>
      <c r="B214" s="6" t="s">
        <v>1002</v>
      </c>
      <c r="C214" s="5" t="s">
        <v>1003</v>
      </c>
      <c r="D214" s="5" t="s">
        <v>1004</v>
      </c>
      <c r="G214" s="6" t="s">
        <v>1005</v>
      </c>
    </row>
    <row r="215" spans="1:7" ht="15" customHeight="1">
      <c r="A215" s="6" t="s">
        <v>1006</v>
      </c>
      <c r="B215" s="6" t="s">
        <v>1007</v>
      </c>
      <c r="C215" s="5" t="s">
        <v>1008</v>
      </c>
      <c r="D215" s="5"/>
      <c r="G215" s="6" t="s">
        <v>1009</v>
      </c>
    </row>
    <row r="216" spans="1:7" ht="15" customHeight="1">
      <c r="A216" s="6" t="s">
        <v>1010</v>
      </c>
      <c r="B216" s="6" t="s">
        <v>1011</v>
      </c>
      <c r="C216" s="5" t="s">
        <v>1012</v>
      </c>
      <c r="D216" s="5" t="s">
        <v>1013</v>
      </c>
      <c r="G216" s="6" t="s">
        <v>1014</v>
      </c>
    </row>
    <row r="217" spans="1:7" ht="15" customHeight="1">
      <c r="A217" s="6" t="s">
        <v>1015</v>
      </c>
      <c r="B217" s="6" t="s">
        <v>1016</v>
      </c>
      <c r="C217" s="5" t="s">
        <v>1017</v>
      </c>
      <c r="D217" s="5" t="s">
        <v>1018</v>
      </c>
      <c r="G217" s="6" t="s">
        <v>1019</v>
      </c>
    </row>
    <row r="218" spans="1:7" ht="15" customHeight="1">
      <c r="A218" s="6" t="s">
        <v>1020</v>
      </c>
      <c r="B218" s="6" t="s">
        <v>1021</v>
      </c>
      <c r="C218" s="5" t="s">
        <v>1022</v>
      </c>
      <c r="D218" s="5" t="s">
        <v>1023</v>
      </c>
      <c r="G218" s="6" t="s">
        <v>1024</v>
      </c>
    </row>
    <row r="219" spans="1:7" ht="15" customHeight="1">
      <c r="A219" s="6" t="s">
        <v>1025</v>
      </c>
      <c r="B219" s="6" t="s">
        <v>1026</v>
      </c>
      <c r="C219" s="5" t="s">
        <v>1027</v>
      </c>
      <c r="D219" s="5"/>
      <c r="G219" s="6" t="s">
        <v>1028</v>
      </c>
    </row>
    <row r="220" spans="1:7" ht="15" customHeight="1">
      <c r="A220" s="6" t="s">
        <v>1029</v>
      </c>
      <c r="B220" s="6" t="s">
        <v>1030</v>
      </c>
      <c r="C220" s="5" t="s">
        <v>1031</v>
      </c>
      <c r="D220" s="5" t="s">
        <v>1032</v>
      </c>
      <c r="G220" s="6" t="s">
        <v>1033</v>
      </c>
    </row>
    <row r="221" spans="1:7" ht="15" customHeight="1">
      <c r="A221" s="6" t="s">
        <v>1034</v>
      </c>
      <c r="B221" s="6" t="s">
        <v>1035</v>
      </c>
      <c r="C221" s="5" t="s">
        <v>1036</v>
      </c>
      <c r="D221" s="5" t="s">
        <v>1037</v>
      </c>
      <c r="G221" s="6" t="s">
        <v>1038</v>
      </c>
    </row>
    <row r="222" spans="1:7" ht="15" customHeight="1">
      <c r="A222" s="6" t="s">
        <v>1039</v>
      </c>
      <c r="B222" s="6" t="s">
        <v>1040</v>
      </c>
      <c r="C222" s="5" t="s">
        <v>1041</v>
      </c>
      <c r="D222" s="5" t="s">
        <v>1042</v>
      </c>
      <c r="G222" s="6" t="s">
        <v>1043</v>
      </c>
    </row>
    <row r="223" spans="1:7" ht="15" customHeight="1">
      <c r="A223" s="6" t="s">
        <v>1044</v>
      </c>
      <c r="B223" s="6" t="s">
        <v>1045</v>
      </c>
      <c r="C223" s="5" t="s">
        <v>536</v>
      </c>
      <c r="D223" s="5" t="s">
        <v>1046</v>
      </c>
      <c r="G223" s="6" t="s">
        <v>1047</v>
      </c>
    </row>
    <row r="224" spans="1:7" ht="15" customHeight="1">
      <c r="A224" s="6" t="s">
        <v>1048</v>
      </c>
      <c r="B224" s="6" t="s">
        <v>1049</v>
      </c>
      <c r="C224" s="5"/>
      <c r="D224" s="5"/>
      <c r="G224" s="6" t="s">
        <v>1050</v>
      </c>
    </row>
    <row r="225" spans="1:7" ht="15" customHeight="1">
      <c r="A225" s="6" t="s">
        <v>1051</v>
      </c>
      <c r="B225" s="6" t="s">
        <v>1052</v>
      </c>
      <c r="C225" s="5" t="s">
        <v>1053</v>
      </c>
      <c r="D225" s="5" t="s">
        <v>1054</v>
      </c>
      <c r="G225" s="6" t="s">
        <v>1055</v>
      </c>
    </row>
    <row r="226" spans="1:7" ht="15" customHeight="1">
      <c r="A226" s="6" t="s">
        <v>1056</v>
      </c>
      <c r="B226" s="6" t="s">
        <v>1057</v>
      </c>
      <c r="C226" s="5" t="s">
        <v>1058</v>
      </c>
      <c r="D226" s="5" t="s">
        <v>1059</v>
      </c>
      <c r="G226" s="6" t="s">
        <v>1060</v>
      </c>
    </row>
    <row r="227" spans="1:7" ht="15" customHeight="1">
      <c r="A227" s="6" t="s">
        <v>1061</v>
      </c>
      <c r="B227" s="6" t="s">
        <v>1062</v>
      </c>
      <c r="C227" s="5" t="s">
        <v>1063</v>
      </c>
      <c r="D227" s="5" t="s">
        <v>782</v>
      </c>
      <c r="G227" s="6" t="s">
        <v>1064</v>
      </c>
    </row>
    <row r="228" spans="1:7" ht="15" customHeight="1">
      <c r="A228" s="6" t="s">
        <v>1065</v>
      </c>
      <c r="B228" s="6" t="s">
        <v>1066</v>
      </c>
      <c r="C228" s="5" t="s">
        <v>984</v>
      </c>
      <c r="D228" s="5" t="s">
        <v>985</v>
      </c>
      <c r="G228" s="6" t="s">
        <v>1067</v>
      </c>
    </row>
    <row r="229" spans="1:7" ht="15" customHeight="1">
      <c r="A229" s="6" t="s">
        <v>1068</v>
      </c>
      <c r="B229" s="6" t="s">
        <v>1069</v>
      </c>
      <c r="C229" s="5" t="s">
        <v>1070</v>
      </c>
      <c r="D229" s="5" t="s">
        <v>1071</v>
      </c>
      <c r="G229" s="6" t="s">
        <v>1072</v>
      </c>
    </row>
    <row r="230" spans="1:7" ht="15" customHeight="1">
      <c r="A230" s="6" t="s">
        <v>1073</v>
      </c>
      <c r="B230" s="6" t="s">
        <v>1074</v>
      </c>
      <c r="C230" s="5" t="s">
        <v>1070</v>
      </c>
      <c r="D230" s="5" t="s">
        <v>1071</v>
      </c>
      <c r="G230" s="6" t="s">
        <v>1075</v>
      </c>
    </row>
    <row r="231" spans="1:7" ht="15" customHeight="1">
      <c r="A231" s="6" t="s">
        <v>1076</v>
      </c>
      <c r="B231" s="6" t="s">
        <v>1077</v>
      </c>
      <c r="C231" s="5" t="s">
        <v>1078</v>
      </c>
      <c r="D231" s="5" t="s">
        <v>1079</v>
      </c>
      <c r="G231" s="6" t="s">
        <v>1080</v>
      </c>
    </row>
    <row r="232" spans="1:7" ht="15" customHeight="1">
      <c r="A232" s="6" t="s">
        <v>1081</v>
      </c>
      <c r="B232" s="6" t="s">
        <v>1082</v>
      </c>
      <c r="C232" s="5" t="s">
        <v>1083</v>
      </c>
      <c r="D232" s="5" t="s">
        <v>1084</v>
      </c>
      <c r="G232" s="6" t="s">
        <v>1085</v>
      </c>
    </row>
    <row r="233" spans="1:7" ht="15" customHeight="1">
      <c r="A233" s="6" t="s">
        <v>1086</v>
      </c>
      <c r="B233" s="6" t="s">
        <v>1087</v>
      </c>
      <c r="C233" s="5" t="s">
        <v>1088</v>
      </c>
      <c r="D233" s="5" t="s">
        <v>1089</v>
      </c>
      <c r="G233" s="6" t="s">
        <v>1090</v>
      </c>
    </row>
    <row r="234" spans="1:7" ht="15" customHeight="1">
      <c r="A234" s="6" t="s">
        <v>1091</v>
      </c>
      <c r="B234" s="6" t="s">
        <v>1092</v>
      </c>
      <c r="C234" s="5" t="s">
        <v>1093</v>
      </c>
      <c r="D234" s="5" t="s">
        <v>1094</v>
      </c>
      <c r="G234" s="6" t="s">
        <v>1095</v>
      </c>
    </row>
    <row r="235" spans="1:7" ht="15" customHeight="1">
      <c r="A235" s="6" t="s">
        <v>1096</v>
      </c>
      <c r="B235" s="6" t="s">
        <v>1097</v>
      </c>
      <c r="C235" s="5" t="s">
        <v>1098</v>
      </c>
      <c r="D235" s="5" t="s">
        <v>1099</v>
      </c>
      <c r="G235" s="6" t="s">
        <v>1100</v>
      </c>
    </row>
    <row r="236" spans="1:7" ht="15" customHeight="1">
      <c r="A236" s="6" t="s">
        <v>1101</v>
      </c>
      <c r="B236" s="6" t="s">
        <v>1102</v>
      </c>
      <c r="C236" s="5" t="s">
        <v>1103</v>
      </c>
      <c r="D236" s="5" t="s">
        <v>1104</v>
      </c>
      <c r="G236" s="6" t="s">
        <v>1105</v>
      </c>
    </row>
    <row r="237" spans="1:7" ht="15" customHeight="1">
      <c r="A237" s="6" t="s">
        <v>1106</v>
      </c>
      <c r="B237" s="6" t="s">
        <v>1107</v>
      </c>
      <c r="C237" s="5" t="s">
        <v>1108</v>
      </c>
      <c r="D237" s="5" t="s">
        <v>1109</v>
      </c>
      <c r="G237" s="6" t="s">
        <v>1110</v>
      </c>
    </row>
    <row r="238" spans="1:7" ht="15" customHeight="1">
      <c r="A238" s="6" t="s">
        <v>1111</v>
      </c>
      <c r="B238" s="6" t="s">
        <v>1112</v>
      </c>
      <c r="C238" s="5" t="s">
        <v>1113</v>
      </c>
      <c r="D238" s="5"/>
      <c r="G238" s="6" t="s">
        <v>1114</v>
      </c>
    </row>
    <row r="239" spans="1:7" ht="15" customHeight="1">
      <c r="A239" s="6" t="s">
        <v>1115</v>
      </c>
      <c r="B239" s="6" t="s">
        <v>1116</v>
      </c>
      <c r="C239" s="5" t="s">
        <v>84</v>
      </c>
      <c r="D239" s="5"/>
      <c r="G239" s="6" t="s">
        <v>1117</v>
      </c>
    </row>
    <row r="240" spans="1:7" ht="15" customHeight="1">
      <c r="A240" s="6" t="s">
        <v>1118</v>
      </c>
      <c r="B240" s="6" t="s">
        <v>1119</v>
      </c>
      <c r="C240" s="5" t="s">
        <v>1120</v>
      </c>
      <c r="D240" s="5"/>
      <c r="G240" s="6" t="s">
        <v>1121</v>
      </c>
    </row>
    <row r="241" spans="1:7" ht="15" customHeight="1">
      <c r="A241" s="6" t="s">
        <v>1122</v>
      </c>
      <c r="B241" s="6" t="s">
        <v>1123</v>
      </c>
      <c r="C241" s="5" t="s">
        <v>1124</v>
      </c>
      <c r="D241" s="5" t="s">
        <v>1125</v>
      </c>
      <c r="G241" s="6" t="s">
        <v>1126</v>
      </c>
    </row>
    <row r="242" spans="1:7" ht="15" customHeight="1">
      <c r="A242" s="6" t="s">
        <v>1127</v>
      </c>
      <c r="B242" s="6" t="s">
        <v>1128</v>
      </c>
      <c r="C242" s="5" t="s">
        <v>1129</v>
      </c>
      <c r="D242" s="5" t="s">
        <v>1130</v>
      </c>
      <c r="G242" s="6" t="s">
        <v>1131</v>
      </c>
    </row>
    <row r="243" spans="1:7" ht="15" customHeight="1">
      <c r="A243" s="6" t="s">
        <v>1132</v>
      </c>
      <c r="B243" s="6" t="s">
        <v>1133</v>
      </c>
      <c r="C243" s="5" t="s">
        <v>1134</v>
      </c>
      <c r="D243" s="5" t="s">
        <v>1135</v>
      </c>
      <c r="G243" s="6" t="s">
        <v>1136</v>
      </c>
    </row>
    <row r="244" spans="1:7" ht="15" customHeight="1">
      <c r="A244" s="6" t="s">
        <v>1137</v>
      </c>
      <c r="B244" s="6" t="s">
        <v>1138</v>
      </c>
      <c r="C244" s="5" t="s">
        <v>1139</v>
      </c>
      <c r="D244" s="5" t="s">
        <v>693</v>
      </c>
      <c r="G244" s="6" t="s">
        <v>1140</v>
      </c>
    </row>
    <row r="245" spans="1:7" ht="15" customHeight="1">
      <c r="A245" s="6" t="s">
        <v>1141</v>
      </c>
      <c r="B245" s="6" t="s">
        <v>1142</v>
      </c>
      <c r="C245" s="5" t="s">
        <v>1143</v>
      </c>
      <c r="D245" s="5" t="s">
        <v>1144</v>
      </c>
      <c r="G245" s="6" t="s">
        <v>1145</v>
      </c>
    </row>
    <row r="246" spans="1:7" ht="15" customHeight="1">
      <c r="A246" s="6" t="s">
        <v>1146</v>
      </c>
      <c r="B246" s="6" t="s">
        <v>1147</v>
      </c>
      <c r="C246" s="5" t="s">
        <v>1148</v>
      </c>
      <c r="D246" s="5" t="s">
        <v>1149</v>
      </c>
      <c r="G246" s="6" t="s">
        <v>1150</v>
      </c>
    </row>
    <row r="247" spans="1:7" ht="15" customHeight="1">
      <c r="A247" s="6" t="s">
        <v>1151</v>
      </c>
      <c r="B247" s="6" t="s">
        <v>1152</v>
      </c>
      <c r="C247" s="5" t="s">
        <v>1153</v>
      </c>
      <c r="D247" s="5" t="s">
        <v>1154</v>
      </c>
      <c r="G247" s="6" t="s">
        <v>1155</v>
      </c>
    </row>
    <row r="248" spans="1:7" ht="15" customHeight="1">
      <c r="A248" s="6" t="s">
        <v>1156</v>
      </c>
      <c r="B248" s="6" t="s">
        <v>1157</v>
      </c>
      <c r="C248" s="5" t="s">
        <v>316</v>
      </c>
      <c r="D248" s="5" t="s">
        <v>1158</v>
      </c>
      <c r="G248" s="6" t="s">
        <v>1159</v>
      </c>
    </row>
    <row r="249" spans="1:7" ht="15" customHeight="1">
      <c r="A249" s="6" t="s">
        <v>1160</v>
      </c>
      <c r="B249" s="6" t="s">
        <v>1161</v>
      </c>
      <c r="C249" s="5" t="s">
        <v>1162</v>
      </c>
      <c r="D249" s="5" t="s">
        <v>1163</v>
      </c>
      <c r="G249" s="6" t="s">
        <v>1164</v>
      </c>
    </row>
    <row r="250" spans="1:7" ht="15" customHeight="1">
      <c r="A250" s="6" t="s">
        <v>1165</v>
      </c>
      <c r="B250" s="6" t="s">
        <v>1166</v>
      </c>
      <c r="C250" s="5" t="s">
        <v>1167</v>
      </c>
      <c r="D250" s="5" t="s">
        <v>1168</v>
      </c>
      <c r="G250" s="6" t="s">
        <v>1169</v>
      </c>
    </row>
    <row r="251" spans="1:7" ht="15" customHeight="1">
      <c r="A251" s="6" t="s">
        <v>1170</v>
      </c>
      <c r="B251" s="6" t="s">
        <v>1171</v>
      </c>
      <c r="C251" s="5" t="s">
        <v>1172</v>
      </c>
      <c r="D251" s="5" t="s">
        <v>1173</v>
      </c>
      <c r="G251" s="6" t="s">
        <v>1174</v>
      </c>
    </row>
    <row r="252" spans="1:7" ht="15" customHeight="1">
      <c r="A252" s="6" t="s">
        <v>1175</v>
      </c>
      <c r="B252" s="6" t="s">
        <v>1176</v>
      </c>
      <c r="C252" s="5" t="s">
        <v>1172</v>
      </c>
      <c r="D252" s="5" t="s">
        <v>1173</v>
      </c>
      <c r="G252" s="6" t="s">
        <v>1177</v>
      </c>
    </row>
    <row r="253" spans="1:7" ht="15" customHeight="1">
      <c r="A253" s="6" t="s">
        <v>1178</v>
      </c>
      <c r="B253" s="6" t="s">
        <v>1179</v>
      </c>
      <c r="C253" s="5" t="s">
        <v>1180</v>
      </c>
      <c r="D253" s="5" t="s">
        <v>1181</v>
      </c>
      <c r="G253" s="6" t="s">
        <v>1182</v>
      </c>
    </row>
    <row r="254" spans="1:7" ht="15" customHeight="1">
      <c r="A254" s="6" t="s">
        <v>1183</v>
      </c>
      <c r="B254" s="6" t="s">
        <v>1184</v>
      </c>
      <c r="C254" s="5" t="s">
        <v>1185</v>
      </c>
      <c r="D254" s="5" t="s">
        <v>1186</v>
      </c>
      <c r="G254" s="6" t="s">
        <v>1187</v>
      </c>
    </row>
    <row r="255" spans="1:7" ht="15" customHeight="1">
      <c r="A255" s="6" t="s">
        <v>1188</v>
      </c>
      <c r="B255" s="6" t="s">
        <v>1189</v>
      </c>
      <c r="C255" s="5" t="s">
        <v>1190</v>
      </c>
      <c r="D255" s="5" t="s">
        <v>1191</v>
      </c>
      <c r="G255" s="6" t="s">
        <v>1192</v>
      </c>
    </row>
    <row r="256" spans="1:7" ht="15" customHeight="1">
      <c r="A256" s="6" t="s">
        <v>1193</v>
      </c>
      <c r="B256" s="6" t="s">
        <v>1194</v>
      </c>
      <c r="C256" s="5" t="s">
        <v>1195</v>
      </c>
      <c r="D256" s="5" t="s">
        <v>1196</v>
      </c>
      <c r="G256" s="6" t="s">
        <v>1197</v>
      </c>
    </row>
    <row r="257" spans="1:7" ht="15" customHeight="1">
      <c r="A257" s="6" t="s">
        <v>1198</v>
      </c>
      <c r="B257" s="6" t="s">
        <v>1199</v>
      </c>
      <c r="C257" s="5" t="s">
        <v>1200</v>
      </c>
      <c r="D257" s="5" t="s">
        <v>1201</v>
      </c>
      <c r="G257" s="6" t="s">
        <v>1202</v>
      </c>
    </row>
    <row r="258" spans="1:7" ht="15" customHeight="1">
      <c r="A258" s="6" t="s">
        <v>1203</v>
      </c>
      <c r="B258" s="6" t="s">
        <v>1204</v>
      </c>
      <c r="C258" s="5" t="s">
        <v>1205</v>
      </c>
      <c r="D258" s="5" t="s">
        <v>1206</v>
      </c>
      <c r="G258" s="6" t="s">
        <v>1207</v>
      </c>
    </row>
    <row r="259" spans="1:7" ht="15" customHeight="1">
      <c r="A259" s="6" t="s">
        <v>1208</v>
      </c>
      <c r="B259" s="6" t="s">
        <v>1209</v>
      </c>
      <c r="C259" s="5" t="s">
        <v>1210</v>
      </c>
      <c r="D259" s="5" t="s">
        <v>1211</v>
      </c>
      <c r="G259" s="6" t="s">
        <v>1212</v>
      </c>
    </row>
    <row r="260" spans="1:7" ht="15" customHeight="1">
      <c r="A260" s="6" t="s">
        <v>1213</v>
      </c>
      <c r="B260" s="6" t="s">
        <v>1214</v>
      </c>
      <c r="C260" s="5" t="s">
        <v>1215</v>
      </c>
      <c r="D260" s="5" t="s">
        <v>1216</v>
      </c>
      <c r="G260" s="6" t="s">
        <v>1217</v>
      </c>
    </row>
    <row r="261" spans="1:7" ht="15" customHeight="1">
      <c r="A261" s="6" t="s">
        <v>1218</v>
      </c>
      <c r="B261" s="6" t="s">
        <v>1219</v>
      </c>
      <c r="C261" s="5" t="s">
        <v>1220</v>
      </c>
      <c r="D261" s="5" t="s">
        <v>1221</v>
      </c>
      <c r="G261" s="6" t="s">
        <v>1222</v>
      </c>
    </row>
    <row r="262" spans="1:7" ht="15" customHeight="1">
      <c r="A262" s="6" t="s">
        <v>1223</v>
      </c>
      <c r="B262" s="6" t="s">
        <v>1224</v>
      </c>
      <c r="C262" s="5" t="s">
        <v>1225</v>
      </c>
      <c r="D262" s="5" t="s">
        <v>1226</v>
      </c>
      <c r="G262" s="6" t="s">
        <v>1227</v>
      </c>
    </row>
    <row r="263" spans="1:7" ht="15" customHeight="1">
      <c r="A263" s="6" t="s">
        <v>1228</v>
      </c>
      <c r="B263" s="6" t="s">
        <v>1229</v>
      </c>
      <c r="C263" s="5" t="s">
        <v>1230</v>
      </c>
      <c r="D263" s="5" t="s">
        <v>1231</v>
      </c>
      <c r="G263" s="6" t="s">
        <v>1232</v>
      </c>
    </row>
    <row r="264" spans="1:7" ht="15" customHeight="1">
      <c r="A264" s="6" t="s">
        <v>1233</v>
      </c>
      <c r="B264" s="6" t="s">
        <v>1234</v>
      </c>
      <c r="C264" s="5" t="s">
        <v>218</v>
      </c>
      <c r="D264" s="5" t="s">
        <v>1235</v>
      </c>
      <c r="G264" s="6" t="s">
        <v>1236</v>
      </c>
    </row>
    <row r="265" spans="1:7" ht="15" customHeight="1">
      <c r="A265" s="6" t="s">
        <v>1237</v>
      </c>
      <c r="B265" s="6" t="s">
        <v>1238</v>
      </c>
      <c r="C265" s="5" t="s">
        <v>1239</v>
      </c>
      <c r="D265" s="5" t="s">
        <v>1240</v>
      </c>
      <c r="G265" s="6" t="s">
        <v>1241</v>
      </c>
    </row>
    <row r="266" spans="1:7" ht="15" customHeight="1">
      <c r="A266" s="6" t="s">
        <v>1242</v>
      </c>
      <c r="B266" s="6" t="s">
        <v>1243</v>
      </c>
      <c r="C266" s="5"/>
      <c r="D266" s="5"/>
      <c r="G266" s="6" t="s">
        <v>1244</v>
      </c>
    </row>
    <row r="267" spans="1:7" ht="15" customHeight="1">
      <c r="A267" s="6" t="s">
        <v>1245</v>
      </c>
      <c r="B267" s="6" t="s">
        <v>1246</v>
      </c>
      <c r="C267" s="5" t="s">
        <v>1247</v>
      </c>
      <c r="D267" s="5" t="s">
        <v>1248</v>
      </c>
      <c r="G267" s="6" t="s">
        <v>1249</v>
      </c>
    </row>
    <row r="268" spans="1:7" ht="15" customHeight="1">
      <c r="A268" s="6" t="s">
        <v>1250</v>
      </c>
      <c r="B268" s="6" t="s">
        <v>1251</v>
      </c>
      <c r="C268" s="5" t="s">
        <v>1252</v>
      </c>
      <c r="D268" s="5" t="s">
        <v>1253</v>
      </c>
      <c r="G268" s="6" t="s">
        <v>1254</v>
      </c>
    </row>
    <row r="269" spans="1:7" ht="15" customHeight="1">
      <c r="A269" s="6" t="s">
        <v>1255</v>
      </c>
      <c r="B269" s="6" t="s">
        <v>1256</v>
      </c>
      <c r="C269" s="5" t="s">
        <v>1257</v>
      </c>
      <c r="D269" s="5" t="s">
        <v>1258</v>
      </c>
      <c r="G269" s="6" t="s">
        <v>1259</v>
      </c>
    </row>
    <row r="270" spans="1:7" ht="15" customHeight="1">
      <c r="A270" s="6" t="s">
        <v>1260</v>
      </c>
      <c r="B270" s="6" t="s">
        <v>1261</v>
      </c>
      <c r="C270" s="5" t="s">
        <v>1262</v>
      </c>
      <c r="D270" s="5" t="s">
        <v>1263</v>
      </c>
      <c r="G270" s="6" t="s">
        <v>1264</v>
      </c>
    </row>
    <row r="271" spans="1:7" ht="15" customHeight="1">
      <c r="A271" s="6" t="s">
        <v>1265</v>
      </c>
      <c r="B271" s="6" t="s">
        <v>1266</v>
      </c>
      <c r="C271" s="5" t="s">
        <v>1267</v>
      </c>
      <c r="D271" s="5" t="s">
        <v>1268</v>
      </c>
      <c r="G271" s="6" t="s">
        <v>1269</v>
      </c>
    </row>
    <row r="272" spans="1:7" ht="15" customHeight="1">
      <c r="A272" s="6" t="s">
        <v>1270</v>
      </c>
      <c r="B272" s="6" t="s">
        <v>1271</v>
      </c>
      <c r="C272" s="5" t="s">
        <v>1272</v>
      </c>
      <c r="D272" s="5" t="s">
        <v>1273</v>
      </c>
      <c r="G272" s="6" t="s">
        <v>1274</v>
      </c>
    </row>
    <row r="273" spans="1:7" ht="15" customHeight="1">
      <c r="A273" s="6" t="s">
        <v>1275</v>
      </c>
      <c r="B273" s="6" t="s">
        <v>1276</v>
      </c>
      <c r="C273" s="5" t="s">
        <v>1277</v>
      </c>
      <c r="D273" s="5"/>
      <c r="G273" s="6" t="s">
        <v>1278</v>
      </c>
    </row>
    <row r="274" spans="1:7" ht="15" customHeight="1">
      <c r="A274" s="6" t="s">
        <v>1279</v>
      </c>
      <c r="B274" s="6" t="s">
        <v>1280</v>
      </c>
      <c r="C274" s="5" t="s">
        <v>1022</v>
      </c>
      <c r="D274" s="5" t="s">
        <v>1023</v>
      </c>
      <c r="G274" s="6" t="s">
        <v>1281</v>
      </c>
    </row>
    <row r="275" spans="1:7" ht="15" customHeight="1">
      <c r="A275" s="6" t="s">
        <v>1282</v>
      </c>
      <c r="B275" s="6" t="s">
        <v>1283</v>
      </c>
      <c r="C275" s="5" t="s">
        <v>1284</v>
      </c>
      <c r="D275" s="5" t="s">
        <v>1285</v>
      </c>
      <c r="G275" s="6" t="s">
        <v>1286</v>
      </c>
    </row>
    <row r="276" spans="1:7" ht="15" customHeight="1">
      <c r="A276" s="6" t="s">
        <v>1287</v>
      </c>
      <c r="B276" s="6" t="s">
        <v>1288</v>
      </c>
      <c r="C276" s="5" t="s">
        <v>1289</v>
      </c>
      <c r="D276" s="5" t="s">
        <v>1290</v>
      </c>
      <c r="G276" s="6" t="s">
        <v>1291</v>
      </c>
    </row>
    <row r="277" spans="1:7" ht="15" customHeight="1">
      <c r="A277" s="6" t="s">
        <v>1292</v>
      </c>
      <c r="B277" s="6" t="s">
        <v>1293</v>
      </c>
      <c r="C277" s="5" t="s">
        <v>1294</v>
      </c>
      <c r="D277" s="5" t="s">
        <v>1295</v>
      </c>
      <c r="G277" s="6" t="s">
        <v>1296</v>
      </c>
    </row>
    <row r="278" spans="1:7" ht="15" customHeight="1">
      <c r="A278" s="6" t="s">
        <v>1297</v>
      </c>
      <c r="B278" s="6" t="s">
        <v>1298</v>
      </c>
      <c r="C278" s="5" t="s">
        <v>1299</v>
      </c>
      <c r="D278" s="5" t="s">
        <v>1300</v>
      </c>
      <c r="G278" s="6" t="s">
        <v>1301</v>
      </c>
    </row>
    <row r="279" spans="1:7" ht="15" customHeight="1">
      <c r="A279" s="6" t="s">
        <v>1302</v>
      </c>
      <c r="B279" s="6" t="s">
        <v>1303</v>
      </c>
      <c r="C279" s="5" t="s">
        <v>1304</v>
      </c>
      <c r="D279" s="5" t="s">
        <v>1305</v>
      </c>
      <c r="G279" s="6" t="s">
        <v>1306</v>
      </c>
    </row>
    <row r="280" spans="1:7" ht="15" customHeight="1">
      <c r="A280" s="6" t="s">
        <v>1307</v>
      </c>
      <c r="B280" s="6" t="s">
        <v>1308</v>
      </c>
      <c r="C280" s="5" t="s">
        <v>1309</v>
      </c>
      <c r="D280" s="5" t="s">
        <v>1310</v>
      </c>
      <c r="G280" s="6" t="s">
        <v>1311</v>
      </c>
    </row>
    <row r="281" spans="1:7" ht="15" customHeight="1">
      <c r="A281" s="6" t="s">
        <v>1312</v>
      </c>
      <c r="B281" s="6" t="s">
        <v>1313</v>
      </c>
      <c r="C281" s="5" t="s">
        <v>1314</v>
      </c>
      <c r="D281" s="5" t="s">
        <v>1315</v>
      </c>
      <c r="G281" s="6" t="s">
        <v>1316</v>
      </c>
    </row>
    <row r="282" spans="1:7" ht="15" customHeight="1">
      <c r="A282" s="6" t="s">
        <v>1317</v>
      </c>
      <c r="B282" s="6" t="s">
        <v>1318</v>
      </c>
      <c r="C282" s="5" t="s">
        <v>1319</v>
      </c>
      <c r="D282" s="5" t="s">
        <v>1320</v>
      </c>
      <c r="G282" s="6" t="s">
        <v>1321</v>
      </c>
    </row>
    <row r="283" spans="1:7" ht="15" customHeight="1">
      <c r="A283" s="6" t="s">
        <v>1322</v>
      </c>
      <c r="B283" s="6" t="s">
        <v>1323</v>
      </c>
      <c r="C283" s="5" t="s">
        <v>1324</v>
      </c>
      <c r="D283" s="5" t="s">
        <v>1325</v>
      </c>
      <c r="G283" s="6" t="s">
        <v>1326</v>
      </c>
    </row>
    <row r="284" spans="1:7" ht="15" customHeight="1">
      <c r="A284" s="6" t="s">
        <v>1327</v>
      </c>
      <c r="B284" s="6" t="s">
        <v>1328</v>
      </c>
      <c r="C284" s="5" t="s">
        <v>1329</v>
      </c>
      <c r="D284" s="5" t="s">
        <v>1330</v>
      </c>
      <c r="G284" s="6" t="s">
        <v>1331</v>
      </c>
    </row>
    <row r="285" spans="1:7" ht="15" customHeight="1">
      <c r="A285" s="6" t="s">
        <v>1332</v>
      </c>
      <c r="B285" s="6" t="s">
        <v>1333</v>
      </c>
      <c r="C285" s="5" t="s">
        <v>1098</v>
      </c>
      <c r="D285" s="5" t="s">
        <v>1099</v>
      </c>
      <c r="G285" s="6" t="s">
        <v>1334</v>
      </c>
    </row>
    <row r="286" spans="1:7" ht="15" customHeight="1">
      <c r="A286" s="6" t="s">
        <v>1335</v>
      </c>
      <c r="B286" s="6" t="s">
        <v>1336</v>
      </c>
      <c r="C286" s="5" t="s">
        <v>1329</v>
      </c>
      <c r="D286" s="5" t="s">
        <v>1337</v>
      </c>
      <c r="G286" s="6" t="s">
        <v>1338</v>
      </c>
    </row>
    <row r="287" spans="1:7" ht="15" customHeight="1">
      <c r="A287" s="6" t="s">
        <v>1339</v>
      </c>
      <c r="B287" s="6" t="s">
        <v>1340</v>
      </c>
      <c r="C287" s="5" t="s">
        <v>1341</v>
      </c>
      <c r="D287" s="5" t="s">
        <v>1342</v>
      </c>
      <c r="G287" s="6" t="s">
        <v>1343</v>
      </c>
    </row>
    <row r="288" spans="1:7" ht="15" customHeight="1">
      <c r="A288" s="6" t="s">
        <v>1344</v>
      </c>
      <c r="B288" s="6" t="s">
        <v>1345</v>
      </c>
      <c r="C288" s="5" t="s">
        <v>92</v>
      </c>
      <c r="D288" s="5" t="s">
        <v>1346</v>
      </c>
      <c r="G288" s="6" t="s">
        <v>1347</v>
      </c>
    </row>
    <row r="289" spans="1:7" ht="15" customHeight="1">
      <c r="A289" s="6" t="s">
        <v>1348</v>
      </c>
      <c r="B289" s="6" t="s">
        <v>1349</v>
      </c>
      <c r="C289" s="5" t="s">
        <v>1350</v>
      </c>
      <c r="D289" s="5" t="s">
        <v>1351</v>
      </c>
      <c r="G289" s="6" t="s">
        <v>1352</v>
      </c>
    </row>
    <row r="290" spans="1:7" ht="15" customHeight="1">
      <c r="A290" s="6" t="s">
        <v>1353</v>
      </c>
      <c r="B290" s="6" t="s">
        <v>1354</v>
      </c>
      <c r="C290" s="5" t="s">
        <v>1355</v>
      </c>
      <c r="D290" s="5" t="s">
        <v>1356</v>
      </c>
      <c r="G290" s="6" t="s">
        <v>1357</v>
      </c>
    </row>
    <row r="291" spans="1:7" ht="15" customHeight="1">
      <c r="A291" s="6" t="s">
        <v>1358</v>
      </c>
      <c r="B291" s="6" t="s">
        <v>1359</v>
      </c>
      <c r="C291" s="5" t="s">
        <v>1360</v>
      </c>
      <c r="D291" s="5" t="s">
        <v>1361</v>
      </c>
      <c r="G291" s="6" t="s">
        <v>1362</v>
      </c>
    </row>
    <row r="292" spans="1:7" ht="15" customHeight="1">
      <c r="A292" s="6" t="s">
        <v>1363</v>
      </c>
      <c r="B292" s="6" t="s">
        <v>1364</v>
      </c>
      <c r="C292" s="5" t="s">
        <v>321</v>
      </c>
      <c r="D292" s="5" t="s">
        <v>1365</v>
      </c>
      <c r="G292" s="6" t="s">
        <v>1366</v>
      </c>
    </row>
    <row r="293" spans="1:7" ht="15" customHeight="1">
      <c r="A293" s="6" t="s">
        <v>1367</v>
      </c>
      <c r="B293" s="6" t="s">
        <v>1368</v>
      </c>
      <c r="C293" s="5" t="s">
        <v>1369</v>
      </c>
      <c r="D293" s="5"/>
      <c r="G293" s="6" t="s">
        <v>1370</v>
      </c>
    </row>
    <row r="294" spans="1:7" ht="15" customHeight="1">
      <c r="A294" s="6" t="s">
        <v>1371</v>
      </c>
      <c r="B294" s="6" t="s">
        <v>1372</v>
      </c>
      <c r="C294" s="5" t="s">
        <v>1373</v>
      </c>
      <c r="D294" s="5" t="s">
        <v>1374</v>
      </c>
      <c r="G294" s="6" t="s">
        <v>1375</v>
      </c>
    </row>
    <row r="295" spans="1:7" ht="15" customHeight="1">
      <c r="A295" s="6" t="s">
        <v>1376</v>
      </c>
      <c r="B295" s="6" t="s">
        <v>1377</v>
      </c>
      <c r="C295" s="5" t="s">
        <v>1378</v>
      </c>
      <c r="D295" s="5" t="s">
        <v>514</v>
      </c>
      <c r="G295" s="6" t="s">
        <v>1379</v>
      </c>
    </row>
    <row r="296" spans="1:7" ht="15" customHeight="1">
      <c r="A296" s="6" t="s">
        <v>1380</v>
      </c>
      <c r="B296" s="6" t="s">
        <v>1381</v>
      </c>
      <c r="C296" s="5" t="s">
        <v>1382</v>
      </c>
      <c r="D296" s="5" t="s">
        <v>1383</v>
      </c>
      <c r="G296" s="6" t="s">
        <v>1384</v>
      </c>
    </row>
    <row r="297" spans="1:7" ht="15" customHeight="1">
      <c r="A297" s="6" t="s">
        <v>1385</v>
      </c>
      <c r="B297" s="6" t="s">
        <v>1386</v>
      </c>
      <c r="C297" s="5" t="s">
        <v>1387</v>
      </c>
      <c r="D297" s="5" t="s">
        <v>1388</v>
      </c>
      <c r="G297" s="6" t="s">
        <v>1389</v>
      </c>
    </row>
    <row r="298" spans="1:7" ht="15" customHeight="1">
      <c r="A298" s="6" t="s">
        <v>1390</v>
      </c>
      <c r="B298" s="6" t="s">
        <v>1391</v>
      </c>
      <c r="C298" s="5" t="s">
        <v>208</v>
      </c>
      <c r="D298" s="5" t="s">
        <v>1392</v>
      </c>
      <c r="G298" s="6" t="s">
        <v>1393</v>
      </c>
    </row>
    <row r="299" spans="1:7" ht="15" customHeight="1">
      <c r="A299" s="6" t="s">
        <v>1394</v>
      </c>
      <c r="B299" s="6" t="s">
        <v>1395</v>
      </c>
      <c r="C299" s="5" t="s">
        <v>1396</v>
      </c>
      <c r="D299" s="5" t="s">
        <v>1397</v>
      </c>
      <c r="G299" s="6" t="s">
        <v>1398</v>
      </c>
    </row>
    <row r="300" spans="1:7" ht="15" customHeight="1">
      <c r="A300" s="6" t="s">
        <v>1399</v>
      </c>
      <c r="B300" s="6" t="s">
        <v>1400</v>
      </c>
      <c r="C300" s="5" t="s">
        <v>1401</v>
      </c>
      <c r="D300" s="5" t="s">
        <v>1402</v>
      </c>
      <c r="G300" s="6" t="s">
        <v>1403</v>
      </c>
    </row>
    <row r="301" spans="1:7" ht="15" customHeight="1">
      <c r="A301" s="6" t="s">
        <v>1404</v>
      </c>
      <c r="B301" s="6" t="s">
        <v>1405</v>
      </c>
      <c r="C301" s="5" t="s">
        <v>1406</v>
      </c>
      <c r="D301" s="5" t="s">
        <v>1407</v>
      </c>
      <c r="G301" s="6" t="s">
        <v>1408</v>
      </c>
    </row>
    <row r="302" spans="1:7" ht="15" customHeight="1">
      <c r="A302" s="6" t="s">
        <v>1409</v>
      </c>
      <c r="B302" s="6" t="s">
        <v>1410</v>
      </c>
      <c r="C302" s="5" t="s">
        <v>1411</v>
      </c>
      <c r="D302" s="5" t="s">
        <v>1412</v>
      </c>
      <c r="G302" s="6" t="s">
        <v>1413</v>
      </c>
    </row>
    <row r="303" spans="1:7" ht="15" customHeight="1">
      <c r="A303" s="6" t="s">
        <v>1414</v>
      </c>
      <c r="B303" s="6" t="s">
        <v>1415</v>
      </c>
      <c r="C303" s="5" t="s">
        <v>1416</v>
      </c>
      <c r="D303" s="5" t="s">
        <v>1417</v>
      </c>
      <c r="G303" s="6" t="s">
        <v>1418</v>
      </c>
    </row>
    <row r="304" spans="1:7" ht="15" customHeight="1">
      <c r="A304" s="6" t="s">
        <v>1419</v>
      </c>
      <c r="B304" s="6" t="s">
        <v>1420</v>
      </c>
      <c r="C304" s="5" t="s">
        <v>1421</v>
      </c>
      <c r="D304" s="5" t="s">
        <v>1422</v>
      </c>
      <c r="G304" s="6" t="s">
        <v>1423</v>
      </c>
    </row>
    <row r="305" spans="1:7" ht="15" customHeight="1">
      <c r="A305" s="6" t="s">
        <v>1424</v>
      </c>
      <c r="B305" s="6" t="s">
        <v>1425</v>
      </c>
      <c r="C305" s="5" t="s">
        <v>932</v>
      </c>
      <c r="D305" s="5" t="s">
        <v>1426</v>
      </c>
      <c r="G305" s="6" t="s">
        <v>1427</v>
      </c>
    </row>
    <row r="306" spans="1:7" ht="15" customHeight="1">
      <c r="A306" s="6" t="s">
        <v>1428</v>
      </c>
      <c r="B306" s="6" t="s">
        <v>1429</v>
      </c>
      <c r="C306" s="5" t="s">
        <v>1430</v>
      </c>
      <c r="D306" s="5" t="s">
        <v>1431</v>
      </c>
      <c r="G306" s="6" t="s">
        <v>1432</v>
      </c>
    </row>
    <row r="307" spans="1:7" ht="15" customHeight="1">
      <c r="A307" s="6" t="s">
        <v>1433</v>
      </c>
      <c r="B307" s="6" t="s">
        <v>1434</v>
      </c>
      <c r="C307" s="5" t="s">
        <v>1435</v>
      </c>
      <c r="D307" s="5" t="s">
        <v>1436</v>
      </c>
      <c r="G307" s="6" t="s">
        <v>1437</v>
      </c>
    </row>
    <row r="308" spans="1:7" ht="15" customHeight="1">
      <c r="A308" s="6" t="s">
        <v>1438</v>
      </c>
      <c r="B308" s="6" t="s">
        <v>1439</v>
      </c>
      <c r="C308" s="5" t="s">
        <v>1440</v>
      </c>
      <c r="D308" s="5" t="s">
        <v>1032</v>
      </c>
      <c r="G308" s="6" t="s">
        <v>1441</v>
      </c>
    </row>
    <row r="309" spans="1:7" ht="15" customHeight="1">
      <c r="A309" s="6" t="s">
        <v>1442</v>
      </c>
      <c r="B309" s="6" t="s">
        <v>1443</v>
      </c>
      <c r="C309" s="5" t="s">
        <v>1444</v>
      </c>
      <c r="D309" s="5" t="s">
        <v>1445</v>
      </c>
      <c r="G309" s="6" t="s">
        <v>1446</v>
      </c>
    </row>
    <row r="310" spans="1:7" ht="15" customHeight="1">
      <c r="A310" s="6" t="s">
        <v>1447</v>
      </c>
      <c r="B310" s="6" t="s">
        <v>1448</v>
      </c>
      <c r="C310" s="5" t="s">
        <v>1449</v>
      </c>
      <c r="D310" s="5" t="s">
        <v>1450</v>
      </c>
      <c r="G310" s="6" t="s">
        <v>1451</v>
      </c>
    </row>
    <row r="311" spans="1:7" ht="15" customHeight="1">
      <c r="A311" s="6" t="s">
        <v>1452</v>
      </c>
      <c r="B311" s="6" t="s">
        <v>1453</v>
      </c>
      <c r="C311" s="5" t="s">
        <v>1454</v>
      </c>
      <c r="D311" s="5" t="s">
        <v>1455</v>
      </c>
      <c r="G311" s="6" t="s">
        <v>1456</v>
      </c>
    </row>
    <row r="312" spans="1:7" ht="15" customHeight="1">
      <c r="A312" s="6" t="s">
        <v>1457</v>
      </c>
      <c r="B312" s="6" t="s">
        <v>1458</v>
      </c>
      <c r="C312" s="5" t="s">
        <v>1459</v>
      </c>
      <c r="D312" s="5" t="s">
        <v>1460</v>
      </c>
      <c r="G312" s="6" t="s">
        <v>1461</v>
      </c>
    </row>
    <row r="313" spans="1:7" ht="15" customHeight="1">
      <c r="A313" s="6" t="s">
        <v>1462</v>
      </c>
      <c r="B313" s="6" t="s">
        <v>1463</v>
      </c>
      <c r="C313" s="5" t="s">
        <v>1464</v>
      </c>
      <c r="D313" s="5" t="s">
        <v>1426</v>
      </c>
      <c r="G313" s="6" t="s">
        <v>1465</v>
      </c>
    </row>
    <row r="314" spans="1:7" ht="15" customHeight="1">
      <c r="A314" s="6" t="s">
        <v>1466</v>
      </c>
      <c r="B314" s="6" t="s">
        <v>1467</v>
      </c>
      <c r="C314" s="5" t="s">
        <v>1468</v>
      </c>
      <c r="D314" s="5" t="s">
        <v>1469</v>
      </c>
      <c r="G314" s="6" t="s">
        <v>1470</v>
      </c>
    </row>
    <row r="315" spans="1:7" ht="15" customHeight="1">
      <c r="A315" s="6" t="s">
        <v>1471</v>
      </c>
      <c r="B315" s="6" t="s">
        <v>1472</v>
      </c>
      <c r="C315" s="5" t="s">
        <v>1473</v>
      </c>
      <c r="D315" s="5" t="s">
        <v>1474</v>
      </c>
      <c r="G315" s="6" t="s">
        <v>1475</v>
      </c>
    </row>
    <row r="316" spans="1:7" ht="15" customHeight="1">
      <c r="A316" s="6" t="s">
        <v>1476</v>
      </c>
      <c r="B316" s="6" t="s">
        <v>1477</v>
      </c>
      <c r="C316" s="5" t="s">
        <v>1478</v>
      </c>
      <c r="D316" s="5" t="s">
        <v>1479</v>
      </c>
      <c r="G316" s="6" t="s">
        <v>1480</v>
      </c>
    </row>
    <row r="317" spans="1:7" ht="15" customHeight="1">
      <c r="A317" s="6" t="s">
        <v>1481</v>
      </c>
      <c r="B317" s="6" t="s">
        <v>1482</v>
      </c>
      <c r="C317" s="5" t="s">
        <v>1483</v>
      </c>
      <c r="D317" s="5" t="s">
        <v>1484</v>
      </c>
      <c r="G317" s="6" t="s">
        <v>1485</v>
      </c>
    </row>
    <row r="318" spans="1:7" ht="15" customHeight="1">
      <c r="A318" s="6" t="s">
        <v>1486</v>
      </c>
      <c r="B318" s="6" t="s">
        <v>1487</v>
      </c>
      <c r="C318" s="5" t="s">
        <v>1488</v>
      </c>
      <c r="D318" s="5" t="s">
        <v>1489</v>
      </c>
      <c r="G318" s="6" t="s">
        <v>1490</v>
      </c>
    </row>
    <row r="319" spans="1:7" ht="15" customHeight="1">
      <c r="A319" s="6" t="s">
        <v>1491</v>
      </c>
      <c r="B319" s="6" t="s">
        <v>1492</v>
      </c>
      <c r="C319" s="5" t="s">
        <v>1493</v>
      </c>
      <c r="D319" s="5" t="s">
        <v>1109</v>
      </c>
      <c r="G319" s="6" t="s">
        <v>1494</v>
      </c>
    </row>
    <row r="320" spans="1:7" ht="15" customHeight="1">
      <c r="A320" s="6" t="s">
        <v>1495</v>
      </c>
      <c r="B320" s="6" t="s">
        <v>1496</v>
      </c>
      <c r="C320" s="5" t="s">
        <v>1497</v>
      </c>
      <c r="D320" s="5" t="s">
        <v>1498</v>
      </c>
      <c r="G320" s="6" t="s">
        <v>1499</v>
      </c>
    </row>
    <row r="321" spans="1:7" ht="15" customHeight="1">
      <c r="A321" s="6" t="s">
        <v>1500</v>
      </c>
      <c r="B321" s="6" t="s">
        <v>1501</v>
      </c>
      <c r="C321" s="5" t="s">
        <v>1502</v>
      </c>
      <c r="D321" s="5" t="s">
        <v>1503</v>
      </c>
      <c r="G321" s="6" t="s">
        <v>1504</v>
      </c>
    </row>
    <row r="322" spans="1:7" ht="15" customHeight="1">
      <c r="A322" s="6" t="s">
        <v>1505</v>
      </c>
      <c r="B322" s="6" t="s">
        <v>1506</v>
      </c>
      <c r="C322" s="5" t="s">
        <v>1507</v>
      </c>
      <c r="D322" s="5" t="s">
        <v>1508</v>
      </c>
      <c r="G322" s="6" t="s">
        <v>1509</v>
      </c>
    </row>
    <row r="323" spans="1:7" ht="15" customHeight="1">
      <c r="A323" s="6" t="s">
        <v>1510</v>
      </c>
      <c r="B323" s="6" t="s">
        <v>1511</v>
      </c>
      <c r="C323" s="5" t="s">
        <v>1088</v>
      </c>
      <c r="D323" s="5" t="s">
        <v>1089</v>
      </c>
      <c r="G323" s="6" t="s">
        <v>1512</v>
      </c>
    </row>
    <row r="324" spans="1:7" ht="15" customHeight="1">
      <c r="A324" s="6" t="s">
        <v>1513</v>
      </c>
      <c r="B324" s="6" t="s">
        <v>1514</v>
      </c>
      <c r="C324" s="5" t="s">
        <v>1515</v>
      </c>
      <c r="D324" s="5" t="s">
        <v>1516</v>
      </c>
      <c r="G324" s="6" t="s">
        <v>1517</v>
      </c>
    </row>
    <row r="325" spans="1:7" ht="15" customHeight="1">
      <c r="A325" s="6" t="s">
        <v>1518</v>
      </c>
      <c r="B325" s="6" t="s">
        <v>1519</v>
      </c>
      <c r="C325" s="5" t="s">
        <v>1406</v>
      </c>
      <c r="D325" s="5" t="s">
        <v>1520</v>
      </c>
      <c r="G325" s="6" t="s">
        <v>1521</v>
      </c>
    </row>
    <row r="326" spans="1:7" ht="15" customHeight="1">
      <c r="A326" s="6"/>
      <c r="B326" s="6"/>
      <c r="G326" s="6"/>
    </row>
    <row r="327" spans="1:7" ht="15" customHeight="1">
      <c r="A327" s="6"/>
      <c r="B327" s="6"/>
      <c r="G327" s="6"/>
    </row>
    <row r="328" spans="1:7" ht="15" customHeight="1">
      <c r="A328" s="6"/>
      <c r="B328" s="6"/>
      <c r="G328" s="6"/>
    </row>
    <row r="329" spans="1:7" ht="15" customHeight="1">
      <c r="A329" s="6"/>
      <c r="B329" s="6"/>
      <c r="G329" s="6"/>
    </row>
    <row r="330" spans="1:7" ht="15" customHeight="1">
      <c r="A330" s="6"/>
      <c r="B330" s="6"/>
      <c r="G330" s="6"/>
    </row>
    <row r="331" spans="1:7" ht="15" customHeight="1">
      <c r="A331" s="6"/>
      <c r="B331" s="6"/>
      <c r="G331" s="6"/>
    </row>
    <row r="332" spans="1:7" ht="15" customHeight="1">
      <c r="A332" s="6"/>
      <c r="B332" s="6"/>
      <c r="G332" s="6"/>
    </row>
    <row r="333" spans="1:7" ht="15" customHeight="1">
      <c r="A333" s="6"/>
      <c r="B333" s="6"/>
    </row>
    <row r="334" spans="1:7" ht="15" customHeight="1">
      <c r="A334" s="6"/>
      <c r="B334" s="6"/>
    </row>
    <row r="335" spans="1:7" ht="15" customHeight="1">
      <c r="A335" s="6"/>
      <c r="B335" s="6"/>
    </row>
    <row r="336" spans="1:7" ht="15" customHeight="1">
      <c r="A336" s="6"/>
      <c r="B336" s="6"/>
    </row>
    <row r="337" spans="1:2" ht="15" customHeight="1">
      <c r="A337" s="6"/>
      <c r="B337" s="6"/>
    </row>
    <row r="338" spans="1:2" ht="15" customHeight="1">
      <c r="A338" s="6"/>
      <c r="B338" s="6"/>
    </row>
    <row r="339" spans="1:2" ht="15" customHeight="1">
      <c r="A339" s="6"/>
      <c r="B339" s="6"/>
    </row>
    <row r="340" spans="1:2" ht="15" customHeight="1">
      <c r="A340" s="6"/>
      <c r="B340" s="6"/>
    </row>
    <row r="341" spans="1:2" ht="15" customHeight="1">
      <c r="A341" s="6"/>
      <c r="B341" s="6"/>
    </row>
    <row r="342" spans="1:2" ht="15" customHeight="1">
      <c r="A342" s="6"/>
      <c r="B342" s="6"/>
    </row>
    <row r="343" spans="1:2" ht="15" customHeight="1">
      <c r="A343" s="6"/>
      <c r="B343" s="6"/>
    </row>
    <row r="344" spans="1:2" ht="15" customHeight="1">
      <c r="A344" s="6"/>
      <c r="B344" s="6"/>
    </row>
    <row r="345" spans="1:2" ht="15" customHeight="1">
      <c r="A345" s="6"/>
      <c r="B345" s="6"/>
    </row>
    <row r="346" spans="1:2" ht="15" customHeight="1">
      <c r="A346" s="6"/>
      <c r="B346" s="6"/>
    </row>
    <row r="347" spans="1:2" ht="15" customHeight="1">
      <c r="A347" s="6"/>
      <c r="B347" s="6"/>
    </row>
    <row r="348" spans="1:2" ht="15" customHeight="1">
      <c r="A348" s="6"/>
      <c r="B348" s="6"/>
    </row>
  </sheetData>
  <phoneticPr fontId="4" type="noConversion"/>
  <hyperlinks>
    <hyperlink ref="E2" r:id="rId1" xr:uid="{47C5541A-153A-48BB-8758-D10DC0D20E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1D46-7B8B-4BEC-A1F0-2ED5E9AC1D75}">
  <dimension ref="A1:G21"/>
  <sheetViews>
    <sheetView workbookViewId="0">
      <selection activeCell="F22" sqref="F22"/>
    </sheetView>
  </sheetViews>
  <sheetFormatPr defaultRowHeight="14.45"/>
  <cols>
    <col min="1" max="1" width="10.140625" style="5" customWidth="1"/>
    <col min="2" max="2" width="10.7109375" style="5" customWidth="1"/>
    <col min="3" max="3" width="10.28515625" style="5" bestFit="1" customWidth="1"/>
    <col min="4" max="4" width="18.85546875" style="5" bestFit="1" customWidth="1"/>
    <col min="5" max="5" width="38.7109375" style="5" bestFit="1" customWidth="1"/>
    <col min="6" max="6" width="18.7109375" style="5" customWidth="1"/>
    <col min="7" max="7" width="7.5703125" style="5" customWidth="1"/>
  </cols>
  <sheetData>
    <row r="1" spans="1:7" ht="31.5" customHeight="1">
      <c r="A1" s="2" t="s">
        <v>1522</v>
      </c>
      <c r="B1" s="2" t="s">
        <v>0</v>
      </c>
      <c r="C1" s="2" t="s">
        <v>1523</v>
      </c>
      <c r="D1" s="2" t="s">
        <v>1524</v>
      </c>
      <c r="E1" s="2" t="s">
        <v>1525</v>
      </c>
      <c r="F1" s="2" t="s">
        <v>1526</v>
      </c>
      <c r="G1" s="2" t="s">
        <v>1527</v>
      </c>
    </row>
    <row r="2" spans="1:7" ht="15.75">
      <c r="A2" s="17" t="s">
        <v>1528</v>
      </c>
      <c r="B2" s="5" t="s">
        <v>20</v>
      </c>
      <c r="C2" s="18">
        <v>45757</v>
      </c>
      <c r="D2" s="5" t="s">
        <v>1529</v>
      </c>
      <c r="E2" s="5" t="s">
        <v>1530</v>
      </c>
      <c r="F2" s="5" t="s">
        <v>1531</v>
      </c>
      <c r="G2" s="10">
        <v>180</v>
      </c>
    </row>
    <row r="3" spans="1:7" ht="15.75">
      <c r="A3" s="17" t="s">
        <v>1532</v>
      </c>
      <c r="B3" s="5" t="s">
        <v>36</v>
      </c>
      <c r="C3" s="18">
        <v>45566</v>
      </c>
      <c r="D3" s="5" t="s">
        <v>1533</v>
      </c>
      <c r="E3" s="5" t="s">
        <v>1534</v>
      </c>
      <c r="F3" s="5" t="s">
        <v>1535</v>
      </c>
      <c r="G3" s="10">
        <v>180</v>
      </c>
    </row>
    <row r="4" spans="1:7" ht="15.75">
      <c r="A4" s="17" t="s">
        <v>1536</v>
      </c>
      <c r="B4" s="5" t="s">
        <v>40</v>
      </c>
      <c r="C4" s="18">
        <v>45397</v>
      </c>
      <c r="D4" s="5" t="s">
        <v>1537</v>
      </c>
      <c r="E4" s="5" t="s">
        <v>1538</v>
      </c>
      <c r="F4" s="5" t="s">
        <v>1539</v>
      </c>
      <c r="G4" s="10">
        <v>180</v>
      </c>
    </row>
    <row r="5" spans="1:7" ht="15.75">
      <c r="A5" s="17" t="s">
        <v>1540</v>
      </c>
      <c r="B5" s="5" t="s">
        <v>43</v>
      </c>
      <c r="C5" s="18">
        <v>45736</v>
      </c>
      <c r="D5" s="5" t="s">
        <v>1541</v>
      </c>
      <c r="E5" s="5" t="s">
        <v>1542</v>
      </c>
      <c r="F5" s="5" t="s">
        <v>1543</v>
      </c>
      <c r="G5" s="10">
        <v>180</v>
      </c>
    </row>
    <row r="6" spans="1:7" ht="15.75">
      <c r="A6" s="17" t="s">
        <v>1544</v>
      </c>
      <c r="B6" s="5" t="s">
        <v>46</v>
      </c>
      <c r="C6" s="18">
        <v>45791</v>
      </c>
      <c r="D6" s="5" t="s">
        <v>1545</v>
      </c>
      <c r="E6" s="5" t="s">
        <v>1546</v>
      </c>
      <c r="F6" s="5" t="s">
        <v>1547</v>
      </c>
      <c r="G6" s="10">
        <v>180</v>
      </c>
    </row>
    <row r="7" spans="1:7" ht="15.75">
      <c r="A7" s="17" t="s">
        <v>1548</v>
      </c>
      <c r="B7" s="5" t="s">
        <v>51</v>
      </c>
      <c r="C7" s="18">
        <v>45699</v>
      </c>
      <c r="D7" s="5" t="s">
        <v>1549</v>
      </c>
      <c r="E7" s="5" t="s">
        <v>1550</v>
      </c>
      <c r="F7" s="5" t="s">
        <v>1551</v>
      </c>
      <c r="G7" s="10">
        <v>180</v>
      </c>
    </row>
    <row r="8" spans="1:7" ht="15.75">
      <c r="A8" s="17" t="s">
        <v>1552</v>
      </c>
      <c r="B8" s="5" t="s">
        <v>56</v>
      </c>
      <c r="C8" s="18">
        <v>45661</v>
      </c>
      <c r="D8" s="5" t="s">
        <v>1553</v>
      </c>
      <c r="E8" s="5" t="s">
        <v>1554</v>
      </c>
      <c r="F8" s="5" t="s">
        <v>1555</v>
      </c>
      <c r="G8" s="10">
        <v>180</v>
      </c>
    </row>
    <row r="9" spans="1:7" ht="15.75">
      <c r="A9" s="17" t="s">
        <v>1556</v>
      </c>
      <c r="B9" s="5" t="s">
        <v>61</v>
      </c>
      <c r="C9" s="18">
        <v>45769</v>
      </c>
      <c r="D9" s="5" t="s">
        <v>1557</v>
      </c>
      <c r="E9" s="5" t="s">
        <v>1558</v>
      </c>
      <c r="F9" s="5" t="s">
        <v>556</v>
      </c>
      <c r="G9" s="10">
        <v>180</v>
      </c>
    </row>
    <row r="10" spans="1:7" ht="15.75">
      <c r="A10" s="17" t="s">
        <v>1559</v>
      </c>
      <c r="B10" s="5" t="s">
        <v>64</v>
      </c>
      <c r="C10" s="18">
        <v>45687</v>
      </c>
      <c r="D10" s="5" t="s">
        <v>1560</v>
      </c>
      <c r="E10" s="5" t="s">
        <v>1561</v>
      </c>
      <c r="F10" s="5" t="s">
        <v>1562</v>
      </c>
      <c r="G10" s="10">
        <v>180</v>
      </c>
    </row>
    <row r="11" spans="1:7" ht="15.75">
      <c r="A11" s="17" t="s">
        <v>1563</v>
      </c>
      <c r="B11" s="5" t="s">
        <v>67</v>
      </c>
      <c r="C11" s="18">
        <v>45813</v>
      </c>
      <c r="D11" s="5" t="s">
        <v>1564</v>
      </c>
      <c r="E11" s="5" t="s">
        <v>1565</v>
      </c>
      <c r="F11" s="5" t="s">
        <v>762</v>
      </c>
      <c r="G11" s="10">
        <v>180</v>
      </c>
    </row>
    <row r="12" spans="1:7" ht="15.75">
      <c r="A12" s="17" t="s">
        <v>1566</v>
      </c>
      <c r="B12" s="5" t="s">
        <v>71</v>
      </c>
      <c r="C12" s="18">
        <v>45734</v>
      </c>
      <c r="D12" s="5" t="s">
        <v>1567</v>
      </c>
      <c r="E12" s="5" t="s">
        <v>1568</v>
      </c>
      <c r="F12" s="5" t="s">
        <v>1569</v>
      </c>
      <c r="G12" s="10">
        <v>180</v>
      </c>
    </row>
    <row r="13" spans="1:7" ht="15">
      <c r="A13" s="17" t="s">
        <v>1570</v>
      </c>
      <c r="B13" s="5" t="s">
        <v>74</v>
      </c>
      <c r="C13" s="18">
        <v>45778</v>
      </c>
      <c r="D13" s="5" t="s">
        <v>1571</v>
      </c>
      <c r="E13" s="5" t="s">
        <v>1572</v>
      </c>
      <c r="F13" s="5" t="s">
        <v>1531</v>
      </c>
      <c r="G13" s="10">
        <v>180</v>
      </c>
    </row>
    <row r="14" spans="1:7" ht="15">
      <c r="A14" s="17" t="s">
        <v>1573</v>
      </c>
      <c r="B14" s="5" t="s">
        <v>78</v>
      </c>
      <c r="C14" s="18">
        <v>45716</v>
      </c>
      <c r="D14" s="5" t="s">
        <v>1574</v>
      </c>
      <c r="E14" s="5" t="s">
        <v>1575</v>
      </c>
      <c r="F14" s="5" t="s">
        <v>1535</v>
      </c>
      <c r="G14" s="10">
        <v>180</v>
      </c>
    </row>
    <row r="15" spans="1:7" ht="15">
      <c r="A15" s="17" t="s">
        <v>1576</v>
      </c>
      <c r="B15" s="5" t="s">
        <v>82</v>
      </c>
      <c r="C15" s="18">
        <v>45721</v>
      </c>
      <c r="D15" s="5" t="s">
        <v>1577</v>
      </c>
      <c r="E15" s="5" t="s">
        <v>1578</v>
      </c>
      <c r="F15" s="5" t="s">
        <v>1539</v>
      </c>
      <c r="G15" s="10">
        <v>180</v>
      </c>
    </row>
    <row r="16" spans="1:7" ht="15">
      <c r="A16" s="17" t="s">
        <v>1579</v>
      </c>
      <c r="B16" s="5" t="s">
        <v>86</v>
      </c>
      <c r="C16" s="18">
        <v>45784</v>
      </c>
      <c r="D16" s="5" t="s">
        <v>1580</v>
      </c>
      <c r="E16" s="5" t="s">
        <v>1581</v>
      </c>
      <c r="F16" s="5" t="s">
        <v>1543</v>
      </c>
      <c r="G16" s="10">
        <v>180</v>
      </c>
    </row>
    <row r="17" spans="1:7" ht="15">
      <c r="A17" s="17" t="s">
        <v>1582</v>
      </c>
      <c r="B17" s="5" t="s">
        <v>90</v>
      </c>
      <c r="C17" s="18">
        <v>45766</v>
      </c>
      <c r="D17" s="5" t="s">
        <v>1583</v>
      </c>
      <c r="E17" s="5" t="s">
        <v>1584</v>
      </c>
      <c r="F17" s="5" t="s">
        <v>1531</v>
      </c>
      <c r="G17" s="10">
        <v>180</v>
      </c>
    </row>
    <row r="18" spans="1:7" ht="15">
      <c r="A18" s="17" t="s">
        <v>1585</v>
      </c>
      <c r="B18" s="5" t="s">
        <v>94</v>
      </c>
      <c r="C18" s="18">
        <v>45716</v>
      </c>
      <c r="D18" s="5" t="s">
        <v>1586</v>
      </c>
      <c r="E18" s="5" t="s">
        <v>1587</v>
      </c>
      <c r="F18" s="5" t="s">
        <v>1535</v>
      </c>
      <c r="G18" s="10">
        <v>180</v>
      </c>
    </row>
    <row r="19" spans="1:7" ht="15">
      <c r="A19" s="17" t="s">
        <v>1588</v>
      </c>
      <c r="B19" s="5" t="s">
        <v>97</v>
      </c>
      <c r="C19" s="18">
        <v>45737</v>
      </c>
      <c r="D19" s="5" t="s">
        <v>1589</v>
      </c>
      <c r="E19" s="5" t="s">
        <v>1590</v>
      </c>
      <c r="F19" s="5" t="s">
        <v>1539</v>
      </c>
      <c r="G19" s="10">
        <v>180</v>
      </c>
    </row>
    <row r="20" spans="1:7" ht="15">
      <c r="A20" s="17" t="s">
        <v>1591</v>
      </c>
      <c r="B20" s="5" t="s">
        <v>100</v>
      </c>
      <c r="C20" s="18">
        <v>45759</v>
      </c>
      <c r="D20" s="5" t="s">
        <v>1592</v>
      </c>
      <c r="E20" s="5" t="s">
        <v>1593</v>
      </c>
      <c r="F20" s="5" t="s">
        <v>1543</v>
      </c>
      <c r="G20" s="10">
        <v>180</v>
      </c>
    </row>
    <row r="21" spans="1:7" ht="15">
      <c r="A21" s="17" t="s">
        <v>1594</v>
      </c>
      <c r="B21" s="5" t="s">
        <v>104</v>
      </c>
      <c r="C21" s="18">
        <v>45750</v>
      </c>
      <c r="D21" s="5" t="s">
        <v>1595</v>
      </c>
      <c r="E21" s="5" t="s">
        <v>1596</v>
      </c>
      <c r="F21" s="5" t="s">
        <v>1531</v>
      </c>
      <c r="G21" s="10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C081-7615-4AAB-BACF-5A18310F1324}">
  <dimension ref="A1:N92"/>
  <sheetViews>
    <sheetView workbookViewId="0">
      <selection activeCell="B2" sqref="B2:B7"/>
    </sheetView>
  </sheetViews>
  <sheetFormatPr defaultRowHeight="14.45"/>
  <cols>
    <col min="1" max="1" width="14.28515625" customWidth="1"/>
    <col min="2" max="2" width="39.42578125" customWidth="1"/>
    <col min="3" max="3" width="31.5703125" bestFit="1" customWidth="1"/>
    <col min="4" max="4" width="14.28515625" customWidth="1"/>
    <col min="5" max="5" width="21.5703125" customWidth="1"/>
    <col min="6" max="6" width="14.28515625" customWidth="1"/>
    <col min="7" max="7" width="14.140625" customWidth="1"/>
    <col min="8" max="8" width="22" customWidth="1"/>
    <col min="10" max="10" width="34.42578125" bestFit="1" customWidth="1"/>
  </cols>
  <sheetData>
    <row r="1" spans="1:14">
      <c r="A1" s="2" t="s">
        <v>1597</v>
      </c>
      <c r="B1" s="2" t="s">
        <v>1598</v>
      </c>
      <c r="C1" s="2" t="s">
        <v>1599</v>
      </c>
      <c r="D1" s="2" t="s">
        <v>1600</v>
      </c>
      <c r="E1" s="2" t="s">
        <v>1601</v>
      </c>
      <c r="F1" s="2" t="s">
        <v>1602</v>
      </c>
      <c r="G1" s="2" t="s">
        <v>1603</v>
      </c>
      <c r="H1" s="2" t="s">
        <v>1604</v>
      </c>
      <c r="J1" t="s">
        <v>1605</v>
      </c>
    </row>
    <row r="2" spans="1:14" ht="15">
      <c r="A2" s="3" t="s">
        <v>1606</v>
      </c>
      <c r="B2" s="3" t="s">
        <v>1607</v>
      </c>
      <c r="C2" t="s">
        <v>1608</v>
      </c>
      <c r="D2" t="s">
        <v>1609</v>
      </c>
      <c r="E2" s="3" t="s">
        <v>1610</v>
      </c>
      <c r="F2" s="11">
        <v>10</v>
      </c>
      <c r="G2">
        <v>10</v>
      </c>
      <c r="H2" s="16">
        <f>80*G2/60</f>
        <v>13.333333333333334</v>
      </c>
    </row>
    <row r="3" spans="1:14" ht="15">
      <c r="A3" s="3" t="s">
        <v>1611</v>
      </c>
      <c r="B3" s="3" t="s">
        <v>1612</v>
      </c>
      <c r="C3" s="11"/>
      <c r="D3" s="11"/>
      <c r="E3" s="3" t="s">
        <v>1610</v>
      </c>
      <c r="F3" s="11">
        <v>40</v>
      </c>
    </row>
    <row r="4" spans="1:14" ht="15">
      <c r="A4" s="3" t="s">
        <v>1613</v>
      </c>
      <c r="B4" s="3" t="s">
        <v>1589</v>
      </c>
      <c r="C4" s="11"/>
      <c r="D4" s="11"/>
      <c r="E4" s="3" t="s">
        <v>1610</v>
      </c>
      <c r="F4" s="11">
        <v>12</v>
      </c>
    </row>
    <row r="5" spans="1:14" ht="15">
      <c r="A5" s="3" t="s">
        <v>1614</v>
      </c>
      <c r="B5" s="3" t="s">
        <v>1615</v>
      </c>
      <c r="C5" s="11"/>
      <c r="D5" s="11"/>
      <c r="E5" s="3" t="s">
        <v>1610</v>
      </c>
      <c r="F5" s="11">
        <v>35</v>
      </c>
      <c r="N5" t="s">
        <v>1616</v>
      </c>
    </row>
    <row r="6" spans="1:14" ht="15">
      <c r="A6" s="3" t="s">
        <v>1617</v>
      </c>
      <c r="B6" s="3" t="s">
        <v>1618</v>
      </c>
      <c r="C6" s="11"/>
      <c r="D6" s="11"/>
      <c r="E6" s="3" t="s">
        <v>1610</v>
      </c>
      <c r="F6" s="11">
        <v>15</v>
      </c>
    </row>
    <row r="7" spans="1:14" ht="15">
      <c r="A7" s="3" t="s">
        <v>1619</v>
      </c>
      <c r="B7" s="3" t="s">
        <v>1620</v>
      </c>
      <c r="C7" s="24" t="s">
        <v>1621</v>
      </c>
      <c r="D7" s="11"/>
      <c r="E7" s="3" t="s">
        <v>1622</v>
      </c>
      <c r="F7" s="11">
        <v>18</v>
      </c>
    </row>
    <row r="8" spans="1:14" ht="15">
      <c r="A8" s="3" t="s">
        <v>1623</v>
      </c>
      <c r="B8" s="3" t="s">
        <v>1624</v>
      </c>
      <c r="C8" s="11"/>
      <c r="D8" s="11"/>
      <c r="E8" s="3" t="s">
        <v>1622</v>
      </c>
      <c r="F8" s="11">
        <v>45</v>
      </c>
    </row>
    <row r="9" spans="1:14" ht="15">
      <c r="A9" s="3" t="s">
        <v>1625</v>
      </c>
      <c r="B9" s="3" t="s">
        <v>1626</v>
      </c>
      <c r="C9" s="11"/>
      <c r="D9" s="11"/>
      <c r="E9" s="3" t="s">
        <v>1622</v>
      </c>
      <c r="F9" s="11">
        <v>50</v>
      </c>
    </row>
    <row r="10" spans="1:14" ht="15">
      <c r="A10" s="3" t="s">
        <v>1627</v>
      </c>
      <c r="B10" s="3" t="s">
        <v>1628</v>
      </c>
      <c r="C10" s="11"/>
      <c r="D10" s="11"/>
      <c r="E10" s="3" t="s">
        <v>1622</v>
      </c>
      <c r="F10" s="11">
        <v>8</v>
      </c>
    </row>
    <row r="11" spans="1:14" ht="15">
      <c r="A11" s="3" t="s">
        <v>1629</v>
      </c>
      <c r="B11" s="3" t="s">
        <v>1630</v>
      </c>
      <c r="C11" s="11" t="s">
        <v>1631</v>
      </c>
      <c r="D11" s="11" t="s">
        <v>1632</v>
      </c>
      <c r="E11" s="3" t="s">
        <v>1633</v>
      </c>
      <c r="F11" s="11">
        <v>25</v>
      </c>
    </row>
    <row r="12" spans="1:14" ht="15">
      <c r="A12" s="3" t="s">
        <v>1634</v>
      </c>
      <c r="B12" s="3" t="s">
        <v>1635</v>
      </c>
      <c r="C12" s="11"/>
      <c r="D12" s="11"/>
      <c r="E12" s="3" t="s">
        <v>1633</v>
      </c>
      <c r="F12" s="11">
        <v>20</v>
      </c>
    </row>
    <row r="13" spans="1:14" ht="15">
      <c r="A13" s="3" t="s">
        <v>1636</v>
      </c>
      <c r="B13" s="3" t="s">
        <v>1637</v>
      </c>
      <c r="C13" s="11"/>
      <c r="D13" s="11"/>
      <c r="E13" s="3" t="s">
        <v>1633</v>
      </c>
      <c r="F13" s="11">
        <v>30</v>
      </c>
    </row>
    <row r="14" spans="1:14" ht="15">
      <c r="A14" s="3" t="s">
        <v>1638</v>
      </c>
      <c r="B14" s="3" t="s">
        <v>1639</v>
      </c>
      <c r="C14" s="11"/>
      <c r="D14" s="11"/>
      <c r="E14" s="3" t="s">
        <v>1640</v>
      </c>
      <c r="F14" s="11">
        <v>90</v>
      </c>
    </row>
    <row r="15" spans="1:14" ht="15">
      <c r="A15" s="3" t="s">
        <v>1641</v>
      </c>
      <c r="B15" s="3" t="s">
        <v>1642</v>
      </c>
      <c r="C15" s="11"/>
      <c r="D15" s="11"/>
      <c r="E15" s="3" t="s">
        <v>1640</v>
      </c>
      <c r="F15" s="11">
        <v>35</v>
      </c>
    </row>
    <row r="16" spans="1:14" ht="15">
      <c r="A16" s="3" t="s">
        <v>1643</v>
      </c>
      <c r="B16" s="3" t="s">
        <v>1644</v>
      </c>
      <c r="C16" s="11"/>
      <c r="D16" s="11"/>
      <c r="E16" s="3" t="s">
        <v>1640</v>
      </c>
      <c r="F16" s="11">
        <v>45</v>
      </c>
    </row>
    <row r="17" spans="1:6" ht="15">
      <c r="A17" s="3" t="s">
        <v>1645</v>
      </c>
      <c r="B17" s="3" t="s">
        <v>1646</v>
      </c>
      <c r="C17" s="11"/>
      <c r="D17" s="11"/>
      <c r="E17" s="3" t="s">
        <v>1647</v>
      </c>
      <c r="F17" s="11">
        <v>28</v>
      </c>
    </row>
    <row r="18" spans="1:6" ht="15">
      <c r="A18" s="3" t="s">
        <v>1648</v>
      </c>
      <c r="B18" s="3" t="s">
        <v>1649</v>
      </c>
      <c r="C18" s="11"/>
      <c r="D18" s="11"/>
      <c r="E18" s="3" t="s">
        <v>1647</v>
      </c>
      <c r="F18" s="11">
        <v>22</v>
      </c>
    </row>
    <row r="19" spans="1:6" ht="15">
      <c r="A19" s="3" t="s">
        <v>1650</v>
      </c>
      <c r="B19" s="3" t="s">
        <v>1651</v>
      </c>
      <c r="C19" s="11"/>
      <c r="D19" s="11"/>
      <c r="E19" s="3" t="s">
        <v>1647</v>
      </c>
      <c r="F19" s="11">
        <v>14</v>
      </c>
    </row>
    <row r="20" spans="1:6" ht="15">
      <c r="A20" s="3" t="s">
        <v>1652</v>
      </c>
      <c r="B20" s="3" t="s">
        <v>1553</v>
      </c>
      <c r="C20" s="11"/>
      <c r="D20" s="11"/>
      <c r="E20" s="3" t="s">
        <v>1653</v>
      </c>
      <c r="F20" s="11">
        <v>20</v>
      </c>
    </row>
    <row r="21" spans="1:6" ht="15">
      <c r="A21" s="3" t="s">
        <v>1654</v>
      </c>
      <c r="B21" s="3" t="s">
        <v>1655</v>
      </c>
      <c r="C21" s="11"/>
      <c r="D21" s="11"/>
      <c r="E21" s="3" t="s">
        <v>1653</v>
      </c>
      <c r="F21" s="11">
        <v>55</v>
      </c>
    </row>
    <row r="22" spans="1:6" ht="15">
      <c r="A22" s="3" t="s">
        <v>1656</v>
      </c>
      <c r="B22" s="3" t="s">
        <v>1657</v>
      </c>
      <c r="C22" s="11"/>
      <c r="D22" s="11"/>
      <c r="E22" s="3" t="s">
        <v>1653</v>
      </c>
      <c r="F22" s="11">
        <v>25</v>
      </c>
    </row>
    <row r="23" spans="1:6" ht="15">
      <c r="A23" s="3" t="s">
        <v>1658</v>
      </c>
      <c r="B23" s="3" t="s">
        <v>1659</v>
      </c>
      <c r="C23" s="11"/>
      <c r="D23" s="11"/>
      <c r="E23" s="3" t="s">
        <v>1660</v>
      </c>
      <c r="F23" s="11">
        <v>10</v>
      </c>
    </row>
    <row r="24" spans="1:6" ht="15">
      <c r="A24" s="3" t="s">
        <v>1661</v>
      </c>
      <c r="B24" s="3" t="s">
        <v>1662</v>
      </c>
      <c r="C24" s="11"/>
      <c r="D24" s="11"/>
      <c r="E24" s="3" t="s">
        <v>1660</v>
      </c>
      <c r="F24" s="11">
        <v>30</v>
      </c>
    </row>
    <row r="25" spans="1:6" ht="15">
      <c r="A25" s="3" t="s">
        <v>1663</v>
      </c>
      <c r="B25" s="3" t="s">
        <v>1664</v>
      </c>
      <c r="C25" s="11"/>
      <c r="D25" s="11"/>
      <c r="E25" s="3" t="s">
        <v>1660</v>
      </c>
      <c r="F25" s="11">
        <v>12</v>
      </c>
    </row>
    <row r="26" spans="1:6" ht="15">
      <c r="A26" s="3" t="s">
        <v>1665</v>
      </c>
      <c r="B26" s="3" t="s">
        <v>1666</v>
      </c>
      <c r="C26" s="11"/>
      <c r="D26" s="11"/>
      <c r="E26" s="3" t="s">
        <v>1667</v>
      </c>
      <c r="F26" s="11">
        <v>40</v>
      </c>
    </row>
    <row r="27" spans="1:6" ht="15">
      <c r="A27" s="3" t="s">
        <v>1668</v>
      </c>
      <c r="B27" s="3" t="s">
        <v>1669</v>
      </c>
      <c r="C27" s="11"/>
      <c r="D27" s="11"/>
      <c r="E27" s="3" t="s">
        <v>1667</v>
      </c>
      <c r="F27" s="11">
        <v>35</v>
      </c>
    </row>
    <row r="28" spans="1:6" ht="15">
      <c r="A28" s="3" t="s">
        <v>1670</v>
      </c>
      <c r="B28" s="3" t="s">
        <v>1671</v>
      </c>
      <c r="C28" s="11"/>
      <c r="D28" s="11"/>
      <c r="E28" s="3" t="s">
        <v>1667</v>
      </c>
      <c r="F28" s="11">
        <v>20</v>
      </c>
    </row>
    <row r="29" spans="1:6" ht="15">
      <c r="A29" s="3" t="s">
        <v>1672</v>
      </c>
      <c r="B29" s="3" t="s">
        <v>1673</v>
      </c>
      <c r="C29" s="11"/>
      <c r="D29" s="11"/>
      <c r="E29" s="3" t="s">
        <v>1674</v>
      </c>
      <c r="F29" s="11">
        <v>85</v>
      </c>
    </row>
    <row r="30" spans="1:6" ht="15">
      <c r="A30" s="3" t="s">
        <v>1675</v>
      </c>
      <c r="B30" s="3" t="s">
        <v>1676</v>
      </c>
      <c r="C30" s="11"/>
      <c r="D30" s="11"/>
      <c r="E30" s="3" t="s">
        <v>1674</v>
      </c>
      <c r="F30" s="11">
        <v>7</v>
      </c>
    </row>
    <row r="31" spans="1:6" ht="15">
      <c r="A31" s="3" t="s">
        <v>1677</v>
      </c>
      <c r="B31" s="3" t="s">
        <v>1678</v>
      </c>
      <c r="C31" s="11"/>
      <c r="D31" s="11"/>
      <c r="E31" s="3" t="s">
        <v>1679</v>
      </c>
      <c r="F31" s="11">
        <v>60</v>
      </c>
    </row>
    <row r="32" spans="1:6" ht="15">
      <c r="A32" s="3" t="s">
        <v>1680</v>
      </c>
      <c r="B32" s="3" t="s">
        <v>1681</v>
      </c>
      <c r="C32" s="11"/>
      <c r="D32" s="11"/>
      <c r="E32" s="3" t="s">
        <v>1679</v>
      </c>
      <c r="F32" s="11">
        <v>40</v>
      </c>
    </row>
    <row r="33" spans="1:6" ht="15">
      <c r="A33" s="3" t="s">
        <v>1682</v>
      </c>
      <c r="B33" s="3" t="s">
        <v>1683</v>
      </c>
      <c r="C33" s="11"/>
      <c r="D33" s="11"/>
      <c r="E33" s="3" t="s">
        <v>1684</v>
      </c>
      <c r="F33" s="11">
        <v>50</v>
      </c>
    </row>
    <row r="34" spans="1:6" ht="15">
      <c r="A34" s="3" t="s">
        <v>1685</v>
      </c>
      <c r="B34" s="3" t="s">
        <v>1686</v>
      </c>
      <c r="C34" s="11"/>
      <c r="D34" s="11"/>
      <c r="E34" s="3" t="s">
        <v>1684</v>
      </c>
      <c r="F34" s="11">
        <v>30</v>
      </c>
    </row>
    <row r="35" spans="1:6" ht="15">
      <c r="A35" s="3" t="s">
        <v>1687</v>
      </c>
      <c r="B35" s="3" t="s">
        <v>1688</v>
      </c>
      <c r="C35" s="11"/>
      <c r="D35" s="11"/>
      <c r="E35" s="3" t="s">
        <v>1684</v>
      </c>
      <c r="F35" s="11">
        <v>65</v>
      </c>
    </row>
    <row r="36" spans="1:6" ht="15">
      <c r="A36" s="3" t="s">
        <v>1689</v>
      </c>
      <c r="B36" s="3" t="s">
        <v>1690</v>
      </c>
      <c r="C36" s="11"/>
      <c r="D36" s="11"/>
      <c r="E36" s="3" t="s">
        <v>1691</v>
      </c>
      <c r="F36" s="11">
        <v>75</v>
      </c>
    </row>
    <row r="37" spans="1:6" ht="15">
      <c r="A37" s="3" t="s">
        <v>1692</v>
      </c>
      <c r="B37" s="3" t="s">
        <v>1693</v>
      </c>
      <c r="C37" s="24"/>
      <c r="E37" s="3" t="s">
        <v>1622</v>
      </c>
    </row>
    <row r="38" spans="1:6" ht="15">
      <c r="A38" s="3" t="s">
        <v>1694</v>
      </c>
      <c r="B38" s="3" t="s">
        <v>1695</v>
      </c>
      <c r="C38" s="24"/>
      <c r="E38" s="3" t="s">
        <v>1622</v>
      </c>
    </row>
    <row r="39" spans="1:6" ht="15">
      <c r="A39" s="3" t="s">
        <v>1696</v>
      </c>
      <c r="B39" s="3" t="s">
        <v>1697</v>
      </c>
      <c r="C39" s="24"/>
      <c r="E39" s="3" t="s">
        <v>1622</v>
      </c>
    </row>
    <row r="40" spans="1:6" ht="15">
      <c r="A40" s="3" t="s">
        <v>1698</v>
      </c>
      <c r="B40" s="3" t="s">
        <v>1699</v>
      </c>
      <c r="C40" s="24" t="s">
        <v>1700</v>
      </c>
      <c r="E40" s="3" t="s">
        <v>1622</v>
      </c>
    </row>
    <row r="41" spans="1:6" ht="15">
      <c r="A41" s="3" t="s">
        <v>1701</v>
      </c>
      <c r="B41" t="s">
        <v>1702</v>
      </c>
      <c r="C41" s="24"/>
    </row>
    <row r="42" spans="1:6" ht="15">
      <c r="A42" s="3" t="s">
        <v>1703</v>
      </c>
      <c r="B42" s="3" t="s">
        <v>1704</v>
      </c>
      <c r="C42" s="24" t="s">
        <v>1705</v>
      </c>
    </row>
    <row r="43" spans="1:6" ht="15">
      <c r="A43" s="3" t="s">
        <v>1706</v>
      </c>
      <c r="B43" t="s">
        <v>1707</v>
      </c>
      <c r="C43" s="24" t="s">
        <v>1708</v>
      </c>
    </row>
    <row r="44" spans="1:6" ht="15">
      <c r="A44" s="3" t="s">
        <v>1709</v>
      </c>
      <c r="B44" t="s">
        <v>1710</v>
      </c>
    </row>
    <row r="45" spans="1:6" ht="15">
      <c r="A45" s="3" t="s">
        <v>1711</v>
      </c>
      <c r="B45" t="s">
        <v>1712</v>
      </c>
    </row>
    <row r="46" spans="1:6" ht="15">
      <c r="A46" s="3" t="s">
        <v>1713</v>
      </c>
      <c r="B46" t="s">
        <v>1714</v>
      </c>
    </row>
    <row r="47" spans="1:6" ht="15">
      <c r="A47" s="3" t="s">
        <v>1715</v>
      </c>
      <c r="B47" t="s">
        <v>1716</v>
      </c>
    </row>
    <row r="48" spans="1:6" ht="15">
      <c r="A48" s="3" t="s">
        <v>1717</v>
      </c>
      <c r="B48" t="s">
        <v>1718</v>
      </c>
    </row>
    <row r="49" spans="1:3" ht="15">
      <c r="A49" s="3" t="s">
        <v>1719</v>
      </c>
      <c r="B49" t="s">
        <v>1720</v>
      </c>
    </row>
    <row r="50" spans="1:3" ht="15">
      <c r="A50" s="3" t="s">
        <v>1721</v>
      </c>
      <c r="B50" t="s">
        <v>1722</v>
      </c>
    </row>
    <row r="51" spans="1:3" ht="15">
      <c r="A51" s="3" t="s">
        <v>1723</v>
      </c>
      <c r="B51" t="s">
        <v>1724</v>
      </c>
    </row>
    <row r="52" spans="1:3" ht="15">
      <c r="A52" s="3" t="s">
        <v>1725</v>
      </c>
      <c r="B52" t="s">
        <v>1726</v>
      </c>
    </row>
    <row r="53" spans="1:3" ht="15">
      <c r="A53" s="3" t="s">
        <v>1727</v>
      </c>
      <c r="B53" t="s">
        <v>1728</v>
      </c>
    </row>
    <row r="54" spans="1:3" ht="15">
      <c r="A54" s="3" t="s">
        <v>1729</v>
      </c>
      <c r="B54" t="s">
        <v>1730</v>
      </c>
    </row>
    <row r="55" spans="1:3" ht="15">
      <c r="A55" s="3" t="s">
        <v>1731</v>
      </c>
      <c r="B55" t="s">
        <v>1732</v>
      </c>
    </row>
    <row r="56" spans="1:3" ht="15">
      <c r="A56" s="3" t="s">
        <v>1733</v>
      </c>
      <c r="B56" t="s">
        <v>1734</v>
      </c>
      <c r="C56" t="s">
        <v>1734</v>
      </c>
    </row>
    <row r="57" spans="1:3" ht="15">
      <c r="A57" s="3" t="s">
        <v>1735</v>
      </c>
      <c r="B57" t="s">
        <v>1736</v>
      </c>
    </row>
    <row r="58" spans="1:3" ht="15">
      <c r="A58" s="3" t="s">
        <v>1737</v>
      </c>
      <c r="B58" t="s">
        <v>1738</v>
      </c>
    </row>
    <row r="59" spans="1:3" ht="15">
      <c r="A59" s="3" t="s">
        <v>1739</v>
      </c>
      <c r="B59" t="s">
        <v>1740</v>
      </c>
    </row>
    <row r="60" spans="1:3" ht="15">
      <c r="A60" s="3" t="s">
        <v>1741</v>
      </c>
      <c r="B60" t="s">
        <v>1742</v>
      </c>
    </row>
    <row r="61" spans="1:3" ht="15">
      <c r="A61" s="3" t="s">
        <v>1743</v>
      </c>
      <c r="B61" t="s">
        <v>1744</v>
      </c>
    </row>
    <row r="62" spans="1:3" ht="15">
      <c r="A62" s="3" t="s">
        <v>1745</v>
      </c>
      <c r="B62" t="s">
        <v>1746</v>
      </c>
    </row>
    <row r="63" spans="1:3" ht="15">
      <c r="A63" s="3" t="s">
        <v>1747</v>
      </c>
      <c r="B63" t="s">
        <v>1748</v>
      </c>
    </row>
    <row r="64" spans="1:3" ht="15">
      <c r="A64" s="3" t="s">
        <v>1749</v>
      </c>
      <c r="B64" t="s">
        <v>1750</v>
      </c>
    </row>
    <row r="65" spans="1:3" ht="15">
      <c r="A65" s="3" t="s">
        <v>1751</v>
      </c>
      <c r="B65" t="s">
        <v>1752</v>
      </c>
    </row>
    <row r="66" spans="1:3" ht="15">
      <c r="A66" s="3" t="s">
        <v>1753</v>
      </c>
      <c r="B66" t="s">
        <v>1754</v>
      </c>
    </row>
    <row r="67" spans="1:3" ht="15">
      <c r="A67" s="3" t="s">
        <v>1755</v>
      </c>
      <c r="B67" t="s">
        <v>1756</v>
      </c>
    </row>
    <row r="68" spans="1:3" ht="15">
      <c r="A68" s="3" t="s">
        <v>1757</v>
      </c>
      <c r="B68" t="s">
        <v>1758</v>
      </c>
    </row>
    <row r="69" spans="1:3" ht="15">
      <c r="A69" s="3" t="s">
        <v>1759</v>
      </c>
      <c r="B69" t="s">
        <v>1760</v>
      </c>
    </row>
    <row r="70" spans="1:3" ht="15">
      <c r="A70" s="3" t="s">
        <v>1761</v>
      </c>
      <c r="B70" t="s">
        <v>1762</v>
      </c>
    </row>
    <row r="71" spans="1:3" ht="15">
      <c r="A71" s="3" t="s">
        <v>1763</v>
      </c>
      <c r="B71" t="s">
        <v>1764</v>
      </c>
    </row>
    <row r="72" spans="1:3" ht="15">
      <c r="A72" s="3" t="s">
        <v>1765</v>
      </c>
      <c r="B72" t="s">
        <v>1766</v>
      </c>
    </row>
    <row r="73" spans="1:3" ht="15">
      <c r="A73" s="3" t="s">
        <v>1767</v>
      </c>
      <c r="B73" t="s">
        <v>1768</v>
      </c>
    </row>
    <row r="74" spans="1:3" ht="15">
      <c r="A74" s="3" t="s">
        <v>1769</v>
      </c>
      <c r="B74" t="s">
        <v>1770</v>
      </c>
    </row>
    <row r="75" spans="1:3" ht="15">
      <c r="A75" s="3" t="s">
        <v>1771</v>
      </c>
      <c r="B75" t="s">
        <v>1772</v>
      </c>
    </row>
    <row r="76" spans="1:3" ht="15">
      <c r="A76" s="3" t="s">
        <v>1773</v>
      </c>
      <c r="B76" t="s">
        <v>1774</v>
      </c>
    </row>
    <row r="77" spans="1:3" ht="15">
      <c r="A77" s="3" t="s">
        <v>1775</v>
      </c>
      <c r="B77" t="s">
        <v>1776</v>
      </c>
    </row>
    <row r="78" spans="1:3" ht="15">
      <c r="A78" s="3" t="s">
        <v>1777</v>
      </c>
      <c r="B78" t="s">
        <v>1778</v>
      </c>
    </row>
    <row r="79" spans="1:3" ht="15">
      <c r="A79" s="3" t="s">
        <v>1779</v>
      </c>
      <c r="B79" t="s">
        <v>1780</v>
      </c>
    </row>
    <row r="80" spans="1:3" ht="15">
      <c r="A80" s="3" t="s">
        <v>1781</v>
      </c>
      <c r="B80" t="s">
        <v>1782</v>
      </c>
      <c r="C80" t="s">
        <v>1783</v>
      </c>
    </row>
    <row r="81" spans="1:2" ht="15">
      <c r="A81" s="3" t="s">
        <v>1784</v>
      </c>
      <c r="B81" t="s">
        <v>1785</v>
      </c>
    </row>
    <row r="82" spans="1:2" ht="15">
      <c r="A82" s="3" t="s">
        <v>1786</v>
      </c>
      <c r="B82" t="s">
        <v>1787</v>
      </c>
    </row>
    <row r="83" spans="1:2" ht="15">
      <c r="A83" s="3" t="s">
        <v>1788</v>
      </c>
      <c r="B83" t="s">
        <v>1789</v>
      </c>
    </row>
    <row r="84" spans="1:2" ht="15">
      <c r="A84" s="3" t="s">
        <v>1790</v>
      </c>
      <c r="B84" t="s">
        <v>1791</v>
      </c>
    </row>
    <row r="85" spans="1:2" ht="15">
      <c r="A85" s="3" t="s">
        <v>1792</v>
      </c>
      <c r="B85" t="s">
        <v>1793</v>
      </c>
    </row>
    <row r="86" spans="1:2" ht="15">
      <c r="A86" s="3" t="s">
        <v>1794</v>
      </c>
      <c r="B86" t="s">
        <v>1795</v>
      </c>
    </row>
    <row r="87" spans="1:2" ht="15">
      <c r="A87" s="3" t="s">
        <v>1796</v>
      </c>
      <c r="B87" t="s">
        <v>1797</v>
      </c>
    </row>
    <row r="88" spans="1:2" ht="15">
      <c r="A88" s="3" t="s">
        <v>1798</v>
      </c>
      <c r="B88" t="s">
        <v>1799</v>
      </c>
    </row>
    <row r="89" spans="1:2" ht="15">
      <c r="A89" s="3" t="s">
        <v>1800</v>
      </c>
      <c r="B89" t="s">
        <v>1801</v>
      </c>
    </row>
    <row r="90" spans="1:2" ht="15">
      <c r="A90" s="3" t="s">
        <v>1802</v>
      </c>
      <c r="B90" t="s">
        <v>1803</v>
      </c>
    </row>
    <row r="91" spans="1:2" ht="15">
      <c r="A91" s="3" t="s">
        <v>1804</v>
      </c>
      <c r="B91" s="42" t="s">
        <v>1805</v>
      </c>
    </row>
    <row r="92" spans="1:2" ht="15">
      <c r="A92" s="3" t="s">
        <v>1806</v>
      </c>
      <c r="B92" s="39" t="s">
        <v>1807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597D-CF28-420D-90CA-B7A8130C051B}">
  <dimension ref="A1:P179"/>
  <sheetViews>
    <sheetView workbookViewId="0">
      <selection activeCell="C11" sqref="C11"/>
    </sheetView>
  </sheetViews>
  <sheetFormatPr defaultRowHeight="15" customHeight="1"/>
  <cols>
    <col min="1" max="1" width="16.140625" customWidth="1"/>
    <col min="2" max="2" width="45.140625" customWidth="1"/>
    <col min="3" max="3" width="29.28515625" bestFit="1" customWidth="1"/>
    <col min="4" max="7" width="29.28515625" customWidth="1"/>
    <col min="8" max="9" width="16.140625" customWidth="1"/>
    <col min="10" max="10" width="13.85546875" customWidth="1"/>
    <col min="11" max="11" width="11" customWidth="1"/>
    <col min="12" max="12" width="14.28515625" customWidth="1"/>
    <col min="13" max="13" width="13.140625" customWidth="1"/>
    <col min="14" max="14" width="10.7109375" customWidth="1"/>
    <col min="15" max="15" width="12.42578125" bestFit="1" customWidth="1"/>
  </cols>
  <sheetData>
    <row r="1" spans="1:16" ht="29.25">
      <c r="A1" s="26" t="s">
        <v>1808</v>
      </c>
      <c r="B1" s="26" t="s">
        <v>1809</v>
      </c>
      <c r="C1" s="26" t="s">
        <v>1601</v>
      </c>
      <c r="D1" s="26" t="s">
        <v>1810</v>
      </c>
      <c r="E1" s="26" t="s">
        <v>1811</v>
      </c>
      <c r="F1" s="26" t="s">
        <v>1812</v>
      </c>
      <c r="G1" s="26" t="s">
        <v>1813</v>
      </c>
      <c r="H1" s="26" t="s">
        <v>1814</v>
      </c>
      <c r="I1" s="26" t="s">
        <v>1815</v>
      </c>
      <c r="J1" s="26" t="s">
        <v>1816</v>
      </c>
      <c r="K1" s="26" t="s">
        <v>1817</v>
      </c>
      <c r="L1" s="26" t="s">
        <v>1818</v>
      </c>
      <c r="M1" s="26" t="s">
        <v>1819</v>
      </c>
      <c r="N1" s="34" t="s">
        <v>1820</v>
      </c>
      <c r="O1" s="34" t="s">
        <v>1821</v>
      </c>
      <c r="P1" s="34" t="s">
        <v>1822</v>
      </c>
    </row>
    <row r="2" spans="1:16">
      <c r="A2" s="8" t="s">
        <v>1823</v>
      </c>
      <c r="B2" t="s">
        <v>1824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34"/>
      <c r="O2" s="34"/>
      <c r="P2" s="34"/>
    </row>
    <row r="3" spans="1:16">
      <c r="A3" s="8" t="s">
        <v>1825</v>
      </c>
      <c r="B3" t="s">
        <v>1826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34"/>
      <c r="O3" s="34"/>
      <c r="P3" s="34"/>
    </row>
    <row r="4" spans="1:16">
      <c r="A4" s="8" t="s">
        <v>1827</v>
      </c>
      <c r="B4" t="s">
        <v>1828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34"/>
      <c r="O4" s="34"/>
      <c r="P4" s="34"/>
    </row>
    <row r="5" spans="1:16">
      <c r="A5" s="8" t="s">
        <v>1829</v>
      </c>
      <c r="B5" t="s">
        <v>1828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34"/>
      <c r="O5" s="34"/>
      <c r="P5" s="34"/>
    </row>
    <row r="6" spans="1:16">
      <c r="A6" s="8" t="s">
        <v>1830</v>
      </c>
      <c r="B6" t="s">
        <v>1831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34"/>
      <c r="O6" s="34"/>
      <c r="P6" s="34"/>
    </row>
    <row r="7" spans="1:16">
      <c r="A7" s="8" t="s">
        <v>1832</v>
      </c>
      <c r="B7" s="40" t="s">
        <v>1833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34"/>
      <c r="O7" s="34"/>
      <c r="P7" s="34"/>
    </row>
    <row r="8" spans="1:16">
      <c r="A8" s="8" t="s">
        <v>1834</v>
      </c>
      <c r="B8" s="40" t="s">
        <v>1835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34"/>
      <c r="O8" s="34"/>
      <c r="P8" s="34"/>
    </row>
    <row r="9" spans="1:16">
      <c r="A9" s="8" t="s">
        <v>1836</v>
      </c>
      <c r="B9" t="s">
        <v>1837</v>
      </c>
      <c r="C9" t="s">
        <v>1838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34"/>
      <c r="O9" s="34"/>
      <c r="P9" s="34"/>
    </row>
    <row r="10" spans="1:16">
      <c r="A10" s="8" t="s">
        <v>1839</v>
      </c>
      <c r="B10" t="s">
        <v>1840</v>
      </c>
      <c r="C10" t="s">
        <v>1838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34"/>
      <c r="O10" s="34"/>
      <c r="P10" s="34"/>
    </row>
    <row r="11" spans="1:16">
      <c r="A11" s="8" t="s">
        <v>1841</v>
      </c>
      <c r="B11" t="s">
        <v>1842</v>
      </c>
      <c r="C11" t="s">
        <v>1838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4"/>
      <c r="O11" s="34"/>
      <c r="P11" s="34"/>
    </row>
    <row r="12" spans="1:16">
      <c r="A12" s="8" t="s">
        <v>1843</v>
      </c>
      <c r="B12" t="s">
        <v>1844</v>
      </c>
      <c r="C12" t="s">
        <v>1838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4"/>
      <c r="O12" s="34"/>
      <c r="P12" s="34"/>
    </row>
    <row r="13" spans="1:16">
      <c r="A13" s="8" t="s">
        <v>1845</v>
      </c>
      <c r="B13" s="39" t="s">
        <v>1846</v>
      </c>
      <c r="C13" t="s">
        <v>1838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34"/>
      <c r="O13" s="34"/>
      <c r="P13" s="34"/>
    </row>
    <row r="14" spans="1:16">
      <c r="A14" s="8" t="s">
        <v>1847</v>
      </c>
      <c r="B14" t="s">
        <v>1848</v>
      </c>
      <c r="C14" t="s">
        <v>1838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34"/>
      <c r="O14" s="34"/>
      <c r="P14" s="34"/>
    </row>
    <row r="15" spans="1:16">
      <c r="A15" s="8" t="s">
        <v>1849</v>
      </c>
      <c r="B15" t="s">
        <v>1850</v>
      </c>
      <c r="C15" t="s">
        <v>1838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34"/>
      <c r="O15" s="34"/>
      <c r="P15" s="34"/>
    </row>
    <row r="16" spans="1:16">
      <c r="A16" s="8" t="s">
        <v>1851</v>
      </c>
      <c r="B16" t="s">
        <v>1852</v>
      </c>
      <c r="C16" t="s">
        <v>1838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34"/>
      <c r="O16" s="34"/>
      <c r="P16" s="34"/>
    </row>
    <row r="17" spans="1:16">
      <c r="A17" s="8" t="s">
        <v>1853</v>
      </c>
      <c r="B17" t="s">
        <v>1854</v>
      </c>
      <c r="C17" t="s">
        <v>1838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34"/>
      <c r="O17" s="34"/>
      <c r="P17" s="34"/>
    </row>
    <row r="18" spans="1:16">
      <c r="A18" s="8" t="s">
        <v>1855</v>
      </c>
      <c r="B18" t="s">
        <v>1856</v>
      </c>
      <c r="C18" t="s">
        <v>1838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34"/>
      <c r="O18" s="34"/>
      <c r="P18" s="34"/>
    </row>
    <row r="19" spans="1:16">
      <c r="A19" s="8" t="s">
        <v>1857</v>
      </c>
      <c r="B19" t="s">
        <v>1858</v>
      </c>
      <c r="C19" t="s">
        <v>1838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34"/>
      <c r="O19" s="34"/>
      <c r="P19" s="34"/>
    </row>
    <row r="20" spans="1:16">
      <c r="A20" s="8" t="s">
        <v>1859</v>
      </c>
      <c r="B20" t="s">
        <v>1860</v>
      </c>
      <c r="C20" t="s">
        <v>1838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34"/>
      <c r="O20" s="34"/>
      <c r="P20" s="34"/>
    </row>
    <row r="21" spans="1:16">
      <c r="A21" s="8" t="s">
        <v>1861</v>
      </c>
      <c r="B21" t="s">
        <v>1862</v>
      </c>
      <c r="C21" t="s">
        <v>1838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34"/>
      <c r="O21" s="34"/>
      <c r="P21" s="34"/>
    </row>
    <row r="22" spans="1:16">
      <c r="A22" s="8" t="s">
        <v>1863</v>
      </c>
      <c r="B22" t="s">
        <v>1864</v>
      </c>
      <c r="C22" t="s">
        <v>1838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34"/>
      <c r="O22" s="34"/>
      <c r="P22" s="34"/>
    </row>
    <row r="23" spans="1:16">
      <c r="A23" s="8" t="s">
        <v>1865</v>
      </c>
      <c r="B23" t="s">
        <v>1866</v>
      </c>
      <c r="C23" t="s">
        <v>1838</v>
      </c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34"/>
      <c r="O23" s="34"/>
      <c r="P23" s="34"/>
    </row>
    <row r="24" spans="1:16">
      <c r="A24" s="8" t="s">
        <v>1867</v>
      </c>
      <c r="B24" t="s">
        <v>1868</v>
      </c>
      <c r="C24" t="s">
        <v>1838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34"/>
      <c r="O24" s="34"/>
      <c r="P24" s="34"/>
    </row>
    <row r="25" spans="1:16">
      <c r="A25" s="8" t="s">
        <v>1869</v>
      </c>
      <c r="B25" t="s">
        <v>1870</v>
      </c>
      <c r="C25" t="s">
        <v>1838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34"/>
      <c r="O25" s="34"/>
      <c r="P25" s="34"/>
    </row>
    <row r="26" spans="1:16">
      <c r="A26" s="8" t="s">
        <v>1871</v>
      </c>
      <c r="B26" t="s">
        <v>1872</v>
      </c>
      <c r="C26" t="s">
        <v>1838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4"/>
      <c r="O26" s="34"/>
      <c r="P26" s="34"/>
    </row>
    <row r="27" spans="1:16">
      <c r="A27" s="8" t="s">
        <v>1873</v>
      </c>
      <c r="B27" t="s">
        <v>1874</v>
      </c>
      <c r="C27" t="s">
        <v>1838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34"/>
      <c r="O27" s="34"/>
      <c r="P27" s="34"/>
    </row>
    <row r="28" spans="1:16">
      <c r="A28" s="8" t="s">
        <v>1875</v>
      </c>
      <c r="B28" t="s">
        <v>1876</v>
      </c>
      <c r="C28" t="s">
        <v>1838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34"/>
      <c r="O28" s="34"/>
      <c r="P28" s="34"/>
    </row>
    <row r="29" spans="1:16">
      <c r="A29" s="8" t="s">
        <v>1877</v>
      </c>
      <c r="B29" t="s">
        <v>1878</v>
      </c>
      <c r="C29" t="s">
        <v>1838</v>
      </c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34"/>
      <c r="O29" s="34"/>
      <c r="P29" s="34"/>
    </row>
    <row r="30" spans="1:16">
      <c r="A30" s="8" t="s">
        <v>1879</v>
      </c>
      <c r="B30" t="s">
        <v>1880</v>
      </c>
      <c r="C30" t="s">
        <v>1838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34"/>
      <c r="O30" s="34"/>
      <c r="P30" s="34"/>
    </row>
    <row r="31" spans="1:16">
      <c r="A31" s="8" t="s">
        <v>1881</v>
      </c>
      <c r="B31" t="s">
        <v>1882</v>
      </c>
      <c r="C31" t="s">
        <v>1838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34"/>
      <c r="O31" s="34"/>
      <c r="P31" s="34"/>
    </row>
    <row r="32" spans="1:16">
      <c r="A32" s="8" t="s">
        <v>1883</v>
      </c>
      <c r="B32" t="s">
        <v>1884</v>
      </c>
      <c r="C32" t="s">
        <v>1838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34"/>
      <c r="O32" s="34"/>
      <c r="P32" s="34"/>
    </row>
    <row r="33" spans="1:16">
      <c r="A33" s="8" t="s">
        <v>1885</v>
      </c>
      <c r="B33" t="s">
        <v>1886</v>
      </c>
      <c r="C33" t="s">
        <v>1838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34"/>
      <c r="O33" s="34"/>
      <c r="P33" s="34"/>
    </row>
    <row r="34" spans="1:16">
      <c r="A34" s="8" t="s">
        <v>1887</v>
      </c>
      <c r="B34" t="s">
        <v>1888</v>
      </c>
      <c r="C34" t="s">
        <v>1838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34"/>
      <c r="O34" s="34"/>
      <c r="P34" s="34"/>
    </row>
    <row r="35" spans="1:16">
      <c r="A35" s="8" t="s">
        <v>1889</v>
      </c>
      <c r="B35" t="s">
        <v>1890</v>
      </c>
      <c r="C35" t="s">
        <v>1838</v>
      </c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34"/>
      <c r="O35" s="34"/>
      <c r="P35" s="34"/>
    </row>
    <row r="36" spans="1:16">
      <c r="A36" s="8" t="s">
        <v>1891</v>
      </c>
      <c r="B36" t="s">
        <v>1892</v>
      </c>
      <c r="C36" t="s">
        <v>1838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34"/>
      <c r="O36" s="34"/>
      <c r="P36" s="34"/>
    </row>
    <row r="37" spans="1:16">
      <c r="A37" s="8" t="s">
        <v>1893</v>
      </c>
      <c r="B37" t="s">
        <v>1894</v>
      </c>
      <c r="C37" t="s">
        <v>1838</v>
      </c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34"/>
      <c r="O37" s="34"/>
      <c r="P37" s="34"/>
    </row>
    <row r="38" spans="1:16">
      <c r="A38" s="8" t="s">
        <v>1895</v>
      </c>
      <c r="B38" t="s">
        <v>1896</v>
      </c>
      <c r="C38" t="s">
        <v>1838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34"/>
      <c r="O38" s="34"/>
      <c r="P38" s="34"/>
    </row>
    <row r="39" spans="1:16">
      <c r="A39" s="8" t="s">
        <v>1897</v>
      </c>
      <c r="B39" t="s">
        <v>1898</v>
      </c>
      <c r="C39" t="s">
        <v>1838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34"/>
      <c r="O39" s="34"/>
      <c r="P39" s="34"/>
    </row>
    <row r="40" spans="1:16">
      <c r="A40" s="8" t="s">
        <v>1899</v>
      </c>
      <c r="B40" t="s">
        <v>1900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34"/>
      <c r="O40" s="34"/>
      <c r="P40" s="34"/>
    </row>
    <row r="41" spans="1:16">
      <c r="A41" s="8" t="s">
        <v>1901</v>
      </c>
      <c r="B41" t="s">
        <v>1902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34"/>
      <c r="O41" s="34"/>
      <c r="P41" s="34"/>
    </row>
    <row r="42" spans="1:16">
      <c r="A42" s="8" t="s">
        <v>1903</v>
      </c>
      <c r="B42" t="s">
        <v>1904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34"/>
      <c r="O42" s="34"/>
      <c r="P42" s="34"/>
    </row>
    <row r="43" spans="1:16">
      <c r="A43" s="8" t="s">
        <v>1905</v>
      </c>
      <c r="B43" t="s">
        <v>1906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34"/>
      <c r="O43" s="34"/>
      <c r="P43" s="34"/>
    </row>
    <row r="44" spans="1:16">
      <c r="A44" s="8" t="s">
        <v>1907</v>
      </c>
      <c r="B44" s="40" t="s">
        <v>1908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34"/>
      <c r="O44" s="34"/>
      <c r="P44" s="34"/>
    </row>
    <row r="45" spans="1:16">
      <c r="A45" s="8" t="s">
        <v>1909</v>
      </c>
      <c r="B45" s="40" t="s">
        <v>1910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34"/>
      <c r="O45" s="34"/>
      <c r="P45" s="34"/>
    </row>
    <row r="46" spans="1:16">
      <c r="A46" s="8" t="s">
        <v>1911</v>
      </c>
      <c r="B46" s="40" t="s">
        <v>1912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34"/>
      <c r="O46" s="34"/>
      <c r="P46" s="34"/>
    </row>
    <row r="47" spans="1:16">
      <c r="A47" s="8" t="s">
        <v>1913</v>
      </c>
      <c r="B47" s="39" t="s">
        <v>1914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34"/>
      <c r="O47" s="34"/>
      <c r="P47" s="34"/>
    </row>
    <row r="48" spans="1:16">
      <c r="A48" s="8" t="s">
        <v>1915</v>
      </c>
      <c r="B48" s="41" t="s">
        <v>1916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34"/>
      <c r="O48" s="34"/>
      <c r="P48" s="34"/>
    </row>
    <row r="49" spans="1:16">
      <c r="A49" s="8" t="s">
        <v>1917</v>
      </c>
      <c r="B49" s="39" t="s">
        <v>1918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34"/>
      <c r="O49" s="34"/>
      <c r="P49" s="34"/>
    </row>
    <row r="50" spans="1:16">
      <c r="A50" s="8" t="s">
        <v>1919</v>
      </c>
      <c r="B50" s="39" t="s">
        <v>1920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34"/>
      <c r="O50" s="34"/>
      <c r="P50" s="34"/>
    </row>
    <row r="51" spans="1:16">
      <c r="A51" s="8" t="s">
        <v>1921</v>
      </c>
      <c r="B51" s="41" t="s">
        <v>1922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34"/>
      <c r="O51" s="34"/>
      <c r="P51" s="34"/>
    </row>
    <row r="52" spans="1:16">
      <c r="A52" s="8" t="s">
        <v>1923</v>
      </c>
      <c r="B52" s="39" t="s">
        <v>1924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34"/>
      <c r="O52" s="34"/>
      <c r="P52" s="34"/>
    </row>
    <row r="53" spans="1:16">
      <c r="A53" s="8" t="s">
        <v>1925</v>
      </c>
      <c r="B53" s="39" t="s">
        <v>1926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34"/>
      <c r="O53" s="34"/>
      <c r="P53" s="34"/>
    </row>
    <row r="54" spans="1:16">
      <c r="A54" s="8" t="s">
        <v>1927</v>
      </c>
      <c r="B54" s="39" t="s">
        <v>1928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34"/>
      <c r="O54" s="34"/>
      <c r="P54" s="34"/>
    </row>
    <row r="55" spans="1:16">
      <c r="A55" s="8" t="s">
        <v>1929</v>
      </c>
      <c r="B55" s="39" t="s">
        <v>1930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34"/>
      <c r="O55" s="34"/>
      <c r="P55" s="34"/>
    </row>
    <row r="56" spans="1:16">
      <c r="A56" s="8" t="s">
        <v>1931</v>
      </c>
      <c r="B56" s="39" t="s">
        <v>1932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34"/>
      <c r="O56" s="34"/>
      <c r="P56" s="34"/>
    </row>
    <row r="57" spans="1:16">
      <c r="A57" s="8" t="s">
        <v>1933</v>
      </c>
      <c r="B57" s="41" t="s">
        <v>1934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34"/>
      <c r="O57" s="34"/>
      <c r="P57" s="34"/>
    </row>
    <row r="58" spans="1:16">
      <c r="A58" s="8" t="s">
        <v>1935</v>
      </c>
      <c r="B58" s="39" t="s">
        <v>1936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34"/>
      <c r="O58" s="34"/>
      <c r="P58" s="34"/>
    </row>
    <row r="59" spans="1:16">
      <c r="A59" s="8" t="s">
        <v>1937</v>
      </c>
      <c r="B59" s="39" t="s">
        <v>1938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34"/>
      <c r="O59" s="34"/>
      <c r="P59" s="34"/>
    </row>
    <row r="60" spans="1:16">
      <c r="A60" s="8" t="s">
        <v>1939</v>
      </c>
      <c r="B60" s="39" t="s">
        <v>1940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34"/>
      <c r="O60" s="34"/>
      <c r="P60" s="34"/>
    </row>
    <row r="61" spans="1:16">
      <c r="A61" s="8" t="s">
        <v>1941</v>
      </c>
      <c r="B61" s="39" t="s">
        <v>1942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34"/>
      <c r="O61" s="34"/>
      <c r="P61" s="34"/>
    </row>
    <row r="62" spans="1:16">
      <c r="A62" s="8" t="s">
        <v>1943</v>
      </c>
      <c r="B62" s="41" t="s">
        <v>1944</v>
      </c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34"/>
      <c r="O62" s="34"/>
      <c r="P62" s="34"/>
    </row>
    <row r="63" spans="1:16">
      <c r="A63" s="8" t="s">
        <v>1945</v>
      </c>
      <c r="B63" s="39" t="s">
        <v>1946</v>
      </c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34"/>
      <c r="O63" s="34"/>
      <c r="P63" s="34"/>
    </row>
    <row r="64" spans="1:16">
      <c r="A64" s="8" t="s">
        <v>1947</v>
      </c>
      <c r="B64" s="39" t="s">
        <v>1948</v>
      </c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34"/>
      <c r="O64" s="34"/>
      <c r="P64" s="34"/>
    </row>
    <row r="65" spans="1:16">
      <c r="A65" s="8" t="s">
        <v>1949</v>
      </c>
      <c r="B65" s="39" t="s">
        <v>1950</v>
      </c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34"/>
      <c r="O65" s="34"/>
      <c r="P65" s="34"/>
    </row>
    <row r="66" spans="1:16">
      <c r="A66" s="8" t="s">
        <v>1951</v>
      </c>
      <c r="B66" s="39" t="s">
        <v>1952</v>
      </c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34"/>
      <c r="O66" s="34"/>
      <c r="P66" s="34"/>
    </row>
    <row r="67" spans="1:16">
      <c r="A67" s="8" t="s">
        <v>1953</v>
      </c>
      <c r="B67" s="39" t="s">
        <v>1954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34"/>
      <c r="O67" s="34"/>
      <c r="P67" s="34"/>
    </row>
    <row r="68" spans="1:16">
      <c r="A68" s="8" t="s">
        <v>1955</v>
      </c>
      <c r="B68" s="39" t="s">
        <v>1956</v>
      </c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4"/>
      <c r="O68" s="34"/>
      <c r="P68" s="34"/>
    </row>
    <row r="69" spans="1:16">
      <c r="A69" s="8" t="s">
        <v>1957</v>
      </c>
      <c r="B69" s="39" t="s">
        <v>1958</v>
      </c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4"/>
      <c r="O69" s="34"/>
      <c r="P69" s="34"/>
    </row>
    <row r="70" spans="1:16">
      <c r="A70" s="8" t="s">
        <v>1959</v>
      </c>
      <c r="B70" s="41" t="s">
        <v>1960</v>
      </c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4"/>
      <c r="O70" s="34"/>
      <c r="P70" s="34"/>
    </row>
    <row r="71" spans="1:16">
      <c r="A71" s="8" t="s">
        <v>1961</v>
      </c>
      <c r="B71" s="39" t="s">
        <v>1962</v>
      </c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4"/>
      <c r="O71" s="34"/>
      <c r="P71" s="34"/>
    </row>
    <row r="72" spans="1:16">
      <c r="A72" s="8" t="s">
        <v>1963</v>
      </c>
      <c r="B72" s="39" t="s">
        <v>1964</v>
      </c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34"/>
      <c r="O72" s="34"/>
      <c r="P72" s="34"/>
    </row>
    <row r="73" spans="1:16">
      <c r="A73" s="8" t="s">
        <v>1965</v>
      </c>
      <c r="B73" s="39" t="s">
        <v>1966</v>
      </c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34"/>
      <c r="O73" s="34"/>
      <c r="P73" s="34"/>
    </row>
    <row r="74" spans="1:16">
      <c r="A74" s="8" t="s">
        <v>1967</v>
      </c>
      <c r="B74" s="39" t="s">
        <v>1968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34"/>
      <c r="O74" s="34"/>
      <c r="P74" s="34"/>
    </row>
    <row r="75" spans="1:16">
      <c r="A75" s="8" t="s">
        <v>1969</v>
      </c>
      <c r="B75" s="39" t="s">
        <v>1970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34"/>
      <c r="O75" s="34"/>
      <c r="P75" s="34"/>
    </row>
    <row r="76" spans="1:16">
      <c r="A76" s="8" t="s">
        <v>1971</v>
      </c>
      <c r="B76" s="41" t="s">
        <v>1972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34"/>
      <c r="O76" s="34"/>
      <c r="P76" s="34"/>
    </row>
    <row r="77" spans="1:16">
      <c r="A77" s="8" t="s">
        <v>1973</v>
      </c>
      <c r="B77" s="41" t="s">
        <v>1974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34"/>
      <c r="O77" s="34"/>
      <c r="P77" s="34"/>
    </row>
    <row r="78" spans="1:16">
      <c r="A78" s="8" t="s">
        <v>1975</v>
      </c>
      <c r="B78" s="39" t="s">
        <v>1976</v>
      </c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34"/>
      <c r="O78" s="34"/>
      <c r="P78" s="34"/>
    </row>
    <row r="79" spans="1:16">
      <c r="A79" s="8" t="s">
        <v>1977</v>
      </c>
      <c r="B79" s="39" t="s">
        <v>1978</v>
      </c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34"/>
      <c r="O79" s="34"/>
      <c r="P79" s="34"/>
    </row>
    <row r="80" spans="1:16">
      <c r="A80" s="8" t="s">
        <v>1979</v>
      </c>
      <c r="B80" s="39" t="s">
        <v>1980</v>
      </c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34"/>
      <c r="O80" s="34"/>
      <c r="P80" s="34"/>
    </row>
    <row r="81" spans="1:16">
      <c r="A81" s="8" t="s">
        <v>1981</v>
      </c>
      <c r="B81" s="41" t="s">
        <v>1982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34"/>
      <c r="O81" s="34"/>
      <c r="P81" s="34"/>
    </row>
    <row r="82" spans="1:16">
      <c r="A82" s="8" t="s">
        <v>1983</v>
      </c>
      <c r="B82" s="39" t="s">
        <v>1984</v>
      </c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34"/>
      <c r="O82" s="34"/>
      <c r="P82" s="34"/>
    </row>
    <row r="83" spans="1:16">
      <c r="A83" s="8" t="s">
        <v>1985</v>
      </c>
      <c r="B83" s="39" t="s">
        <v>1986</v>
      </c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34"/>
      <c r="O83" s="34"/>
      <c r="P83" s="34"/>
    </row>
    <row r="84" spans="1:16">
      <c r="A84" s="8" t="s">
        <v>1987</v>
      </c>
      <c r="B84" s="39" t="s">
        <v>1988</v>
      </c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34"/>
      <c r="O84" s="34"/>
      <c r="P84" s="34"/>
    </row>
    <row r="85" spans="1:16">
      <c r="A85" s="8" t="s">
        <v>1989</v>
      </c>
      <c r="B85" t="s">
        <v>1990</v>
      </c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34"/>
      <c r="O85" s="34"/>
      <c r="P85" s="34"/>
    </row>
    <row r="86" spans="1:16">
      <c r="A86" s="8" t="s">
        <v>1991</v>
      </c>
      <c r="B86" t="s">
        <v>1992</v>
      </c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34"/>
      <c r="O86" s="34"/>
      <c r="P86" s="34"/>
    </row>
    <row r="87" spans="1:16">
      <c r="A87" s="8" t="s">
        <v>1993</v>
      </c>
      <c r="B87" t="s">
        <v>1994</v>
      </c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34"/>
      <c r="O87" s="34"/>
      <c r="P87" s="34"/>
    </row>
    <row r="88" spans="1:16">
      <c r="A88" s="8" t="s">
        <v>1995</v>
      </c>
      <c r="B88" t="s">
        <v>1996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34"/>
      <c r="O88" s="34"/>
      <c r="P88" s="34"/>
    </row>
    <row r="89" spans="1:16">
      <c r="A89" s="8" t="s">
        <v>1997</v>
      </c>
      <c r="B89" t="s">
        <v>1998</v>
      </c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34"/>
      <c r="O89" s="34"/>
      <c r="P89" s="34"/>
    </row>
    <row r="90" spans="1:16">
      <c r="A90" s="8" t="s">
        <v>1999</v>
      </c>
      <c r="B90" t="s">
        <v>2000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34"/>
      <c r="O90" s="34"/>
      <c r="P90" s="34"/>
    </row>
    <row r="91" spans="1:16">
      <c r="A91" s="8" t="s">
        <v>2001</v>
      </c>
      <c r="B91" t="s">
        <v>2002</v>
      </c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34"/>
      <c r="O91" s="34"/>
      <c r="P91" s="34"/>
    </row>
    <row r="92" spans="1:16">
      <c r="A92" s="8" t="s">
        <v>2003</v>
      </c>
      <c r="B92" t="s">
        <v>2004</v>
      </c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34"/>
      <c r="O92" s="34"/>
      <c r="P92" s="34"/>
    </row>
    <row r="93" spans="1:16">
      <c r="A93" s="8" t="s">
        <v>2005</v>
      </c>
      <c r="B93" t="s">
        <v>2006</v>
      </c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34"/>
      <c r="O93" s="34"/>
      <c r="P93" s="34"/>
    </row>
    <row r="94" spans="1:16">
      <c r="A94" s="8" t="s">
        <v>2007</v>
      </c>
      <c r="B94" t="s">
        <v>2008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34"/>
      <c r="O94" s="34"/>
      <c r="P94" s="34"/>
    </row>
    <row r="95" spans="1:16">
      <c r="A95" s="8" t="s">
        <v>2009</v>
      </c>
      <c r="B95" t="s">
        <v>2010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34"/>
      <c r="O95" s="34"/>
      <c r="P95" s="34"/>
    </row>
    <row r="96" spans="1:16">
      <c r="A96" s="8" t="s">
        <v>2011</v>
      </c>
      <c r="B96" t="s">
        <v>2012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34"/>
      <c r="O96" s="34"/>
      <c r="P96" s="34"/>
    </row>
    <row r="97" spans="1:14" ht="18" customHeight="1">
      <c r="A97" s="8" t="s">
        <v>2013</v>
      </c>
      <c r="B97" s="8" t="s">
        <v>2014</v>
      </c>
      <c r="C97" s="8" t="s">
        <v>2015</v>
      </c>
      <c r="D97" s="8" t="s">
        <v>2016</v>
      </c>
      <c r="E97" s="29">
        <v>50</v>
      </c>
      <c r="F97" s="35">
        <v>0.1</v>
      </c>
      <c r="G97" s="29">
        <f>E97+E97*F97</f>
        <v>55</v>
      </c>
      <c r="H97" s="8">
        <v>1</v>
      </c>
      <c r="I97" s="29">
        <f>H97*E97</f>
        <v>50</v>
      </c>
      <c r="J97" s="27">
        <v>5</v>
      </c>
      <c r="K97" s="27" t="s">
        <v>2017</v>
      </c>
      <c r="L97" s="27" t="s">
        <v>2018</v>
      </c>
      <c r="M97" s="30">
        <v>45797</v>
      </c>
      <c r="N97" s="28">
        <v>5</v>
      </c>
    </row>
    <row r="98" spans="1:14" ht="15.75">
      <c r="A98" s="8" t="s">
        <v>2019</v>
      </c>
      <c r="B98" s="8" t="s">
        <v>2020</v>
      </c>
      <c r="C98" s="8" t="s">
        <v>2015</v>
      </c>
      <c r="D98" s="8"/>
      <c r="E98" s="29">
        <v>25</v>
      </c>
      <c r="F98" s="29"/>
      <c r="G98" s="29"/>
      <c r="H98" s="8">
        <v>1</v>
      </c>
      <c r="I98" s="8"/>
      <c r="J98" s="28"/>
      <c r="K98" s="28"/>
      <c r="L98" s="28"/>
      <c r="M98" s="28"/>
      <c r="N98" s="28"/>
    </row>
    <row r="99" spans="1:14" ht="15.75">
      <c r="A99" s="8" t="s">
        <v>2021</v>
      </c>
      <c r="B99" s="8" t="s">
        <v>2022</v>
      </c>
      <c r="C99" s="8" t="s">
        <v>2015</v>
      </c>
      <c r="D99" s="8"/>
      <c r="E99" s="29">
        <v>180</v>
      </c>
      <c r="F99" s="29"/>
      <c r="G99" s="29"/>
      <c r="H99" s="8">
        <v>1</v>
      </c>
      <c r="I99" s="8"/>
      <c r="J99" s="28"/>
      <c r="K99" s="28"/>
      <c r="L99" s="28"/>
      <c r="M99" s="28"/>
      <c r="N99" s="28"/>
    </row>
    <row r="100" spans="1:14">
      <c r="A100" s="8" t="s">
        <v>2023</v>
      </c>
      <c r="B100" s="28" t="s">
        <v>2024</v>
      </c>
      <c r="C100" s="8" t="s">
        <v>2015</v>
      </c>
      <c r="D100" s="8"/>
      <c r="E100" s="28"/>
      <c r="F100" s="28"/>
      <c r="G100" s="28"/>
      <c r="H100" s="28"/>
      <c r="I100" s="28"/>
      <c r="J100" s="28"/>
      <c r="K100" s="28"/>
      <c r="L100" s="28"/>
      <c r="M100" s="28"/>
      <c r="N100" s="28"/>
    </row>
    <row r="101" spans="1:14">
      <c r="A101" s="8" t="s">
        <v>2025</v>
      </c>
      <c r="B101" s="28" t="s">
        <v>2026</v>
      </c>
      <c r="C101" s="8" t="s">
        <v>2015</v>
      </c>
      <c r="D101" s="8"/>
      <c r="E101" s="28"/>
      <c r="F101" s="28"/>
      <c r="G101" s="28"/>
      <c r="H101" s="28"/>
      <c r="I101" s="28"/>
      <c r="J101" s="28"/>
      <c r="K101" s="28"/>
      <c r="L101" s="28"/>
      <c r="M101" s="28"/>
      <c r="N101" s="28"/>
    </row>
    <row r="102" spans="1:14">
      <c r="A102" s="8" t="s">
        <v>2027</v>
      </c>
      <c r="B102" s="28" t="s">
        <v>2028</v>
      </c>
      <c r="C102" s="8" t="s">
        <v>2015</v>
      </c>
      <c r="D102" s="8"/>
      <c r="E102" s="28"/>
      <c r="F102" s="28"/>
      <c r="G102" s="28"/>
      <c r="H102" s="28"/>
      <c r="I102" s="28"/>
      <c r="J102" s="28"/>
      <c r="K102" s="28"/>
      <c r="L102" s="28"/>
      <c r="M102" s="28"/>
      <c r="N102" s="28"/>
    </row>
    <row r="103" spans="1:14">
      <c r="A103" s="8" t="s">
        <v>2029</v>
      </c>
      <c r="B103" s="28" t="s">
        <v>2030</v>
      </c>
      <c r="C103" s="8" t="s">
        <v>2015</v>
      </c>
      <c r="D103" s="8"/>
      <c r="E103" s="28"/>
      <c r="F103" s="28"/>
      <c r="G103" s="28"/>
      <c r="H103" s="28"/>
      <c r="I103" s="28"/>
      <c r="J103" s="28"/>
      <c r="K103" s="28"/>
      <c r="L103" s="28"/>
      <c r="M103" s="28"/>
      <c r="N103" s="28"/>
    </row>
    <row r="104" spans="1:14">
      <c r="A104" s="8" t="s">
        <v>2031</v>
      </c>
      <c r="B104" s="28" t="s">
        <v>2032</v>
      </c>
      <c r="C104" s="28" t="s">
        <v>1838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</row>
    <row r="105" spans="1:14">
      <c r="A105" s="8" t="s">
        <v>2033</v>
      </c>
      <c r="B105" s="28" t="s">
        <v>2034</v>
      </c>
      <c r="C105" s="28" t="s">
        <v>1838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spans="1:14">
      <c r="A106" s="8" t="s">
        <v>2035</v>
      </c>
      <c r="B106" s="28" t="s">
        <v>2036</v>
      </c>
      <c r="C106" s="28" t="s">
        <v>1838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 spans="1:14">
      <c r="A107" s="8" t="s">
        <v>2037</v>
      </c>
      <c r="B107" s="28" t="s">
        <v>2038</v>
      </c>
      <c r="C107" s="28" t="s">
        <v>1838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 spans="1:14" ht="15" customHeight="1">
      <c r="A108" s="8" t="s">
        <v>2039</v>
      </c>
      <c r="B108" s="28" t="s">
        <v>2040</v>
      </c>
      <c r="C108" s="28" t="s">
        <v>1838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</row>
    <row r="109" spans="1:14" ht="15" customHeight="1">
      <c r="A109" s="8" t="s">
        <v>2041</v>
      </c>
      <c r="B109" s="28" t="s">
        <v>2042</v>
      </c>
      <c r="C109" s="28" t="s">
        <v>2043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</row>
    <row r="110" spans="1:14" ht="15" customHeight="1">
      <c r="A110" s="8" t="s">
        <v>2044</v>
      </c>
      <c r="B110" s="28" t="s">
        <v>2045</v>
      </c>
      <c r="C110" s="28" t="s">
        <v>2043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</row>
    <row r="111" spans="1:14" ht="15" customHeight="1">
      <c r="A111" s="8" t="s">
        <v>2046</v>
      </c>
      <c r="B111" s="28" t="s">
        <v>2047</v>
      </c>
      <c r="C111" s="28" t="s">
        <v>2043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</row>
    <row r="112" spans="1:14" ht="15" customHeight="1">
      <c r="A112" s="8" t="s">
        <v>2048</v>
      </c>
      <c r="B112" s="28" t="s">
        <v>2049</v>
      </c>
      <c r="C112" s="28" t="s">
        <v>2043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</row>
    <row r="113" spans="1:14" ht="15" customHeight="1">
      <c r="A113" s="8" t="s">
        <v>2050</v>
      </c>
      <c r="B113" s="28" t="s">
        <v>2051</v>
      </c>
      <c r="C113" s="28" t="s">
        <v>2043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</row>
    <row r="114" spans="1:14" ht="15" customHeight="1">
      <c r="A114" s="8" t="s">
        <v>2052</v>
      </c>
      <c r="B114" s="28" t="s">
        <v>2053</v>
      </c>
      <c r="C114" s="28" t="s">
        <v>2054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</row>
    <row r="115" spans="1:14" ht="15" customHeight="1">
      <c r="A115" s="8" t="s">
        <v>2055</v>
      </c>
      <c r="B115" s="28" t="s">
        <v>2056</v>
      </c>
      <c r="C115" s="28" t="s">
        <v>2054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</row>
    <row r="116" spans="1:14" ht="15" customHeight="1">
      <c r="A116" s="8" t="s">
        <v>2057</v>
      </c>
      <c r="B116" s="28" t="s">
        <v>2058</v>
      </c>
      <c r="C116" s="28" t="s">
        <v>2054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 spans="1:14" ht="15" customHeight="1">
      <c r="A117" s="8" t="s">
        <v>2059</v>
      </c>
      <c r="B117" s="28" t="s">
        <v>2060</v>
      </c>
      <c r="C117" s="28" t="s">
        <v>2054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</row>
    <row r="118" spans="1:14" ht="15" customHeight="1">
      <c r="A118" s="8" t="s">
        <v>2061</v>
      </c>
      <c r="B118" s="28" t="s">
        <v>2062</v>
      </c>
      <c r="C118" s="28" t="s">
        <v>2054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</row>
    <row r="119" spans="1:14" ht="15" customHeight="1">
      <c r="A119" s="8" t="s">
        <v>2063</v>
      </c>
      <c r="B119" s="28" t="s">
        <v>2064</v>
      </c>
      <c r="C119" s="28" t="s">
        <v>2054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</row>
    <row r="120" spans="1:14" ht="15" customHeight="1">
      <c r="A120" s="8" t="s">
        <v>2065</v>
      </c>
      <c r="B120" s="28" t="s">
        <v>2066</v>
      </c>
      <c r="C120" s="28" t="s">
        <v>2054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</row>
    <row r="121" spans="1:14" ht="15" customHeight="1">
      <c r="A121" s="8" t="s">
        <v>2067</v>
      </c>
      <c r="B121" s="28" t="s">
        <v>2068</v>
      </c>
      <c r="C121" s="28" t="s">
        <v>2054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</row>
    <row r="122" spans="1:14" ht="15" customHeight="1">
      <c r="A122" s="8" t="s">
        <v>2069</v>
      </c>
      <c r="B122" s="28" t="s">
        <v>2070</v>
      </c>
      <c r="C122" s="28" t="s">
        <v>2071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</row>
    <row r="123" spans="1:14" ht="15" customHeight="1">
      <c r="A123" s="8" t="s">
        <v>2072</v>
      </c>
      <c r="B123" s="28" t="s">
        <v>2073</v>
      </c>
      <c r="C123" s="28" t="s">
        <v>2071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</row>
    <row r="124" spans="1:14" ht="15" customHeight="1">
      <c r="A124" s="8" t="s">
        <v>2074</v>
      </c>
      <c r="B124" s="28" t="s">
        <v>2075</v>
      </c>
      <c r="C124" s="28" t="s">
        <v>2071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ht="15" customHeight="1">
      <c r="A125" s="8" t="s">
        <v>2076</v>
      </c>
      <c r="B125" s="28" t="s">
        <v>2077</v>
      </c>
      <c r="C125" s="28" t="s">
        <v>2071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</row>
    <row r="126" spans="1:14" ht="15" customHeight="1">
      <c r="A126" s="8" t="s">
        <v>2078</v>
      </c>
      <c r="B126" s="28" t="s">
        <v>2079</v>
      </c>
      <c r="C126" s="28" t="s">
        <v>2071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 spans="1:14" ht="15" customHeight="1">
      <c r="A127" s="8" t="s">
        <v>2080</v>
      </c>
      <c r="B127" s="28" t="s">
        <v>2081</v>
      </c>
      <c r="C127" s="28" t="s">
        <v>2071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</row>
    <row r="128" spans="1:14" ht="15" customHeight="1">
      <c r="A128" s="8" t="s">
        <v>2082</v>
      </c>
      <c r="B128" s="28" t="s">
        <v>2083</v>
      </c>
      <c r="C128" s="28" t="s">
        <v>2071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</row>
    <row r="129" spans="1:14" ht="15" customHeight="1">
      <c r="A129" s="8" t="s">
        <v>2084</v>
      </c>
      <c r="B129" s="28" t="s">
        <v>2085</v>
      </c>
      <c r="C129" s="28" t="s">
        <v>2071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</row>
    <row r="130" spans="1:14" ht="15" customHeight="1">
      <c r="A130" s="8" t="s">
        <v>2086</v>
      </c>
      <c r="B130" s="28" t="s">
        <v>2087</v>
      </c>
      <c r="C130" s="28" t="s">
        <v>2071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</row>
    <row r="131" spans="1:14" ht="15" customHeight="1">
      <c r="A131" s="8" t="s">
        <v>2088</v>
      </c>
      <c r="B131" s="28" t="s">
        <v>2089</v>
      </c>
      <c r="C131" s="28" t="s">
        <v>2071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</row>
    <row r="132" spans="1:14" ht="15" customHeight="1">
      <c r="A132" s="8" t="s">
        <v>2090</v>
      </c>
      <c r="B132" s="28" t="s">
        <v>2091</v>
      </c>
      <c r="C132" s="28" t="s">
        <v>2071</v>
      </c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</row>
    <row r="133" spans="1:14" ht="15" customHeight="1">
      <c r="A133" s="8" t="s">
        <v>2092</v>
      </c>
      <c r="B133" s="28" t="s">
        <v>2093</v>
      </c>
      <c r="C133" s="28" t="s">
        <v>2071</v>
      </c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</row>
    <row r="134" spans="1:14" ht="15" customHeight="1">
      <c r="A134" s="8" t="s">
        <v>2094</v>
      </c>
      <c r="B134" s="28" t="s">
        <v>2095</v>
      </c>
      <c r="C134" s="28" t="s">
        <v>2096</v>
      </c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</row>
    <row r="135" spans="1:14" ht="15" customHeight="1">
      <c r="A135" s="8" t="s">
        <v>2097</v>
      </c>
      <c r="B135" s="28" t="s">
        <v>2098</v>
      </c>
      <c r="C135" s="28" t="s">
        <v>2096</v>
      </c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</row>
    <row r="136" spans="1:14" ht="15" customHeight="1">
      <c r="A136" s="8" t="s">
        <v>2099</v>
      </c>
      <c r="B136" s="28" t="s">
        <v>2100</v>
      </c>
      <c r="C136" s="28" t="s">
        <v>2096</v>
      </c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</row>
    <row r="137" spans="1:14" ht="15" customHeight="1">
      <c r="A137" s="8" t="s">
        <v>2101</v>
      </c>
      <c r="B137" s="28" t="s">
        <v>2102</v>
      </c>
      <c r="C137" s="28" t="s">
        <v>2096</v>
      </c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</row>
    <row r="138" spans="1:14" ht="15" customHeight="1">
      <c r="A138" s="8" t="s">
        <v>2103</v>
      </c>
      <c r="B138" s="28" t="s">
        <v>2104</v>
      </c>
      <c r="C138" s="28" t="s">
        <v>2096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</row>
    <row r="139" spans="1:14" ht="15" customHeight="1">
      <c r="A139" s="8" t="s">
        <v>2105</v>
      </c>
      <c r="B139" s="28" t="s">
        <v>2106</v>
      </c>
      <c r="C139" s="28" t="s">
        <v>2096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</row>
    <row r="140" spans="1:14" ht="15" customHeight="1">
      <c r="A140" s="8" t="s">
        <v>2107</v>
      </c>
      <c r="B140" s="28" t="s">
        <v>2108</v>
      </c>
      <c r="C140" s="28" t="s">
        <v>2109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</row>
    <row r="141" spans="1:14" ht="15" customHeight="1">
      <c r="A141" s="8" t="s">
        <v>2110</v>
      </c>
      <c r="B141" s="28" t="s">
        <v>2111</v>
      </c>
      <c r="C141" s="31" t="s">
        <v>2109</v>
      </c>
      <c r="D141" s="31"/>
      <c r="E141" s="28"/>
      <c r="F141" s="28"/>
      <c r="G141" s="28"/>
      <c r="H141" s="28"/>
      <c r="I141" s="28"/>
      <c r="J141" s="28"/>
      <c r="K141" s="28"/>
      <c r="L141" s="28"/>
      <c r="M141" s="28"/>
      <c r="N141" s="28"/>
    </row>
    <row r="142" spans="1:14" ht="15" customHeight="1">
      <c r="A142" s="8" t="s">
        <v>2112</v>
      </c>
      <c r="B142" s="28" t="s">
        <v>2113</v>
      </c>
      <c r="C142" s="31" t="s">
        <v>2109</v>
      </c>
      <c r="D142" s="31"/>
      <c r="E142" s="28"/>
      <c r="F142" s="28"/>
      <c r="G142" s="28"/>
      <c r="H142" s="28"/>
      <c r="I142" s="28"/>
      <c r="J142" s="28"/>
      <c r="K142" s="28"/>
      <c r="L142" s="28"/>
      <c r="M142" s="28"/>
      <c r="N142" s="28"/>
    </row>
    <row r="143" spans="1:14" ht="15" customHeight="1">
      <c r="A143" s="8" t="s">
        <v>2114</v>
      </c>
      <c r="B143" s="28" t="s">
        <v>2115</v>
      </c>
      <c r="C143" s="31" t="s">
        <v>2116</v>
      </c>
      <c r="D143" s="31"/>
      <c r="E143" s="28"/>
      <c r="F143" s="28"/>
      <c r="G143" s="28"/>
      <c r="H143" s="28"/>
      <c r="I143" s="28"/>
      <c r="J143" s="28"/>
      <c r="K143" s="28"/>
      <c r="L143" s="28"/>
      <c r="M143" s="28"/>
      <c r="N143" s="28"/>
    </row>
    <row r="144" spans="1:14" ht="15" customHeight="1">
      <c r="A144" s="8" t="s">
        <v>2117</v>
      </c>
      <c r="B144" s="28" t="s">
        <v>2118</v>
      </c>
      <c r="C144" s="31" t="s">
        <v>2116</v>
      </c>
      <c r="D144" s="31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 spans="1:14" ht="15" customHeight="1">
      <c r="A145" s="8" t="s">
        <v>2119</v>
      </c>
      <c r="B145" s="28" t="s">
        <v>2120</v>
      </c>
      <c r="C145" s="31" t="s">
        <v>2116</v>
      </c>
      <c r="D145" s="31"/>
      <c r="E145" s="28" t="s">
        <v>2121</v>
      </c>
      <c r="F145" s="28"/>
      <c r="G145" s="28"/>
      <c r="H145" s="28"/>
      <c r="I145" s="28"/>
      <c r="J145" s="28" t="s">
        <v>2122</v>
      </c>
      <c r="K145" s="28"/>
      <c r="L145" s="28"/>
      <c r="M145" s="28"/>
      <c r="N145" s="28"/>
    </row>
    <row r="146" spans="1:14" ht="15" customHeight="1">
      <c r="A146" s="8" t="s">
        <v>2123</v>
      </c>
      <c r="B146" s="28" t="s">
        <v>2124</v>
      </c>
      <c r="C146" s="31" t="s">
        <v>2116</v>
      </c>
      <c r="D146" s="31"/>
      <c r="E146" s="28" t="s">
        <v>2125</v>
      </c>
      <c r="F146" s="28"/>
      <c r="G146" s="28"/>
      <c r="H146" s="28"/>
      <c r="I146" s="28"/>
      <c r="J146" s="28" t="s">
        <v>2126</v>
      </c>
      <c r="K146" s="28"/>
      <c r="L146" s="28"/>
      <c r="M146" s="28"/>
      <c r="N146" s="28"/>
    </row>
    <row r="147" spans="1:14" ht="15" customHeight="1">
      <c r="A147" s="8" t="s">
        <v>2127</v>
      </c>
      <c r="B147" s="28" t="s">
        <v>2128</v>
      </c>
      <c r="C147" s="31" t="s">
        <v>2116</v>
      </c>
      <c r="D147" s="31"/>
      <c r="E147" s="28" t="s">
        <v>2129</v>
      </c>
      <c r="F147" s="28"/>
      <c r="G147" s="28"/>
      <c r="H147" s="28"/>
      <c r="I147" s="28"/>
      <c r="J147" s="28" t="s">
        <v>2130</v>
      </c>
      <c r="K147" s="28"/>
      <c r="L147" s="28"/>
      <c r="M147" s="28"/>
      <c r="N147" s="28"/>
    </row>
    <row r="148" spans="1:14" ht="15" customHeight="1">
      <c r="A148" s="8" t="s">
        <v>2131</v>
      </c>
      <c r="B148" s="28" t="s">
        <v>2132</v>
      </c>
      <c r="C148" s="31" t="s">
        <v>2116</v>
      </c>
      <c r="D148" s="31"/>
      <c r="E148" s="28" t="s">
        <v>2133</v>
      </c>
      <c r="F148" s="28"/>
      <c r="G148" s="28"/>
      <c r="H148" s="28"/>
      <c r="I148" s="28"/>
      <c r="J148" s="28" t="s">
        <v>2134</v>
      </c>
      <c r="K148" s="28"/>
      <c r="L148" s="28"/>
      <c r="M148" s="28"/>
      <c r="N148" s="28"/>
    </row>
    <row r="149" spans="1:14" ht="15" customHeight="1">
      <c r="A149" s="8" t="s">
        <v>2135</v>
      </c>
      <c r="B149" s="28" t="s">
        <v>2136</v>
      </c>
      <c r="C149" s="31" t="s">
        <v>2116</v>
      </c>
      <c r="D149" s="31"/>
      <c r="E149" s="28" t="s">
        <v>2137</v>
      </c>
      <c r="F149" s="28"/>
      <c r="G149" s="28"/>
      <c r="H149" s="28"/>
      <c r="I149" s="28"/>
      <c r="J149" s="28"/>
      <c r="K149" s="28"/>
      <c r="L149" s="28"/>
      <c r="M149" s="28"/>
      <c r="N149" s="28"/>
    </row>
    <row r="150" spans="1:14" ht="15" customHeight="1">
      <c r="A150" s="8" t="s">
        <v>2138</v>
      </c>
      <c r="B150" s="32" t="s">
        <v>2139</v>
      </c>
      <c r="C150" s="31" t="s">
        <v>2116</v>
      </c>
      <c r="D150" s="31"/>
      <c r="E150" s="28"/>
      <c r="F150" s="28"/>
      <c r="G150" s="28"/>
      <c r="H150" s="28"/>
      <c r="I150" s="28"/>
      <c r="J150" s="28"/>
      <c r="K150" s="28"/>
      <c r="L150" s="28"/>
      <c r="M150" s="28"/>
      <c r="N150" s="28"/>
    </row>
    <row r="151" spans="1:14" ht="15" customHeight="1">
      <c r="A151" s="8" t="s">
        <v>2140</v>
      </c>
      <c r="B151" s="28" t="s">
        <v>2141</v>
      </c>
      <c r="C151" s="31" t="s">
        <v>2116</v>
      </c>
      <c r="D151" s="31"/>
      <c r="E151" s="28"/>
      <c r="F151" s="28"/>
      <c r="G151" s="28"/>
      <c r="H151" s="28"/>
      <c r="I151" s="28"/>
      <c r="J151" s="28"/>
      <c r="K151" s="28"/>
      <c r="L151" s="28"/>
      <c r="M151" s="28"/>
      <c r="N151" s="28"/>
    </row>
    <row r="152" spans="1:14" ht="15" customHeight="1">
      <c r="A152" s="8" t="s">
        <v>2142</v>
      </c>
      <c r="B152" s="28" t="s">
        <v>2143</v>
      </c>
      <c r="C152" s="31" t="s">
        <v>2116</v>
      </c>
      <c r="D152" s="31"/>
      <c r="E152" s="28"/>
      <c r="F152" s="28"/>
      <c r="G152" s="28"/>
      <c r="H152" s="28"/>
      <c r="I152" s="28"/>
      <c r="J152" s="28"/>
      <c r="K152" s="28"/>
      <c r="L152" s="28"/>
      <c r="M152" s="28"/>
      <c r="N152" s="28"/>
    </row>
    <row r="153" spans="1:14" ht="15" customHeight="1">
      <c r="A153" s="8" t="s">
        <v>2144</v>
      </c>
      <c r="B153" s="28" t="s">
        <v>2145</v>
      </c>
      <c r="C153" s="31" t="s">
        <v>2116</v>
      </c>
      <c r="D153" s="31"/>
      <c r="E153" s="28"/>
      <c r="F153" s="28"/>
      <c r="G153" s="28"/>
      <c r="H153" s="28"/>
      <c r="I153" s="28"/>
      <c r="J153" s="28"/>
      <c r="K153" s="28"/>
      <c r="L153" s="28"/>
      <c r="M153" s="28"/>
      <c r="N153" s="28"/>
    </row>
    <row r="154" spans="1:14" ht="15" customHeight="1">
      <c r="A154" s="8" t="s">
        <v>2146</v>
      </c>
      <c r="B154" s="28" t="s">
        <v>2147</v>
      </c>
      <c r="C154" s="31" t="s">
        <v>2116</v>
      </c>
      <c r="D154" s="31"/>
      <c r="E154" s="28"/>
      <c r="F154" s="28"/>
      <c r="G154" s="28"/>
      <c r="H154" s="28"/>
      <c r="I154" s="28"/>
      <c r="J154" s="28"/>
      <c r="K154" s="28"/>
      <c r="L154" s="28"/>
      <c r="M154" s="28"/>
      <c r="N154" s="28"/>
    </row>
    <row r="155" spans="1:14" ht="15" customHeight="1">
      <c r="A155" s="8" t="s">
        <v>2148</v>
      </c>
      <c r="B155" s="28" t="s">
        <v>2149</v>
      </c>
      <c r="C155" s="31" t="s">
        <v>2116</v>
      </c>
      <c r="D155" s="31"/>
      <c r="E155" s="28"/>
      <c r="F155" s="28"/>
      <c r="G155" s="28"/>
      <c r="H155" s="28"/>
      <c r="I155" s="28"/>
      <c r="J155" s="28"/>
      <c r="K155" s="28"/>
      <c r="L155" s="28"/>
      <c r="M155" s="28"/>
      <c r="N155" s="28"/>
    </row>
    <row r="156" spans="1:14" ht="15" customHeight="1">
      <c r="A156" s="8" t="s">
        <v>2150</v>
      </c>
      <c r="B156" s="28" t="s">
        <v>2151</v>
      </c>
      <c r="C156" s="31" t="s">
        <v>2116</v>
      </c>
      <c r="D156" s="31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 spans="1:14" ht="15" customHeight="1">
      <c r="A157" s="8" t="s">
        <v>2152</v>
      </c>
      <c r="B157" s="28" t="s">
        <v>2153</v>
      </c>
      <c r="C157" s="31" t="s">
        <v>2116</v>
      </c>
      <c r="D157" s="31"/>
      <c r="E157" s="28"/>
      <c r="F157" s="28"/>
      <c r="G157" s="28"/>
      <c r="H157" s="28"/>
      <c r="I157" s="28"/>
      <c r="J157" s="28"/>
      <c r="K157" s="28"/>
      <c r="L157" s="28"/>
      <c r="M157" s="28"/>
      <c r="N157" s="28"/>
    </row>
    <row r="158" spans="1:14" ht="15" customHeight="1">
      <c r="A158" s="8" t="s">
        <v>2154</v>
      </c>
      <c r="B158" s="28" t="s">
        <v>2155</v>
      </c>
      <c r="C158" s="31" t="s">
        <v>2116</v>
      </c>
      <c r="D158" s="31"/>
      <c r="E158" s="28"/>
      <c r="F158" s="28"/>
      <c r="G158" s="28"/>
      <c r="H158" s="28"/>
      <c r="I158" s="28"/>
      <c r="J158" s="28"/>
      <c r="K158" s="28"/>
      <c r="L158" s="28"/>
      <c r="M158" s="28"/>
      <c r="N158" s="28"/>
    </row>
    <row r="159" spans="1:14" ht="15" customHeight="1">
      <c r="A159" s="8" t="s">
        <v>2156</v>
      </c>
      <c r="B159" s="28" t="s">
        <v>2157</v>
      </c>
      <c r="C159" s="31" t="s">
        <v>2116</v>
      </c>
      <c r="D159" s="31"/>
      <c r="E159" s="28"/>
      <c r="F159" s="28"/>
      <c r="G159" s="28"/>
      <c r="H159" s="28"/>
      <c r="I159" s="28"/>
      <c r="J159" s="28"/>
      <c r="K159" s="28"/>
      <c r="L159" s="28"/>
      <c r="M159" s="28"/>
      <c r="N159" s="28"/>
    </row>
    <row r="160" spans="1:14" ht="15" customHeight="1">
      <c r="A160" s="8" t="s">
        <v>2158</v>
      </c>
      <c r="B160" s="28" t="s">
        <v>2159</v>
      </c>
      <c r="C160" s="31" t="s">
        <v>2116</v>
      </c>
      <c r="D160" s="31"/>
      <c r="E160" s="28"/>
      <c r="F160" s="28"/>
      <c r="G160" s="28"/>
      <c r="H160" s="28"/>
      <c r="I160" s="28"/>
      <c r="J160" s="28"/>
      <c r="K160" s="28"/>
      <c r="L160" s="28"/>
      <c r="M160" s="28"/>
      <c r="N160" s="28"/>
    </row>
    <row r="161" spans="1:14" ht="15" customHeight="1">
      <c r="A161" s="8" t="s">
        <v>2160</v>
      </c>
      <c r="B161" s="28" t="s">
        <v>2161</v>
      </c>
      <c r="C161" s="31" t="s">
        <v>2116</v>
      </c>
      <c r="D161" s="31"/>
      <c r="E161" s="28"/>
      <c r="F161" s="28"/>
      <c r="G161" s="28"/>
      <c r="H161" s="28"/>
      <c r="I161" s="28"/>
      <c r="J161" s="28"/>
      <c r="K161" s="28"/>
      <c r="L161" s="28"/>
      <c r="M161" s="28"/>
      <c r="N161" s="28"/>
    </row>
    <row r="162" spans="1:14" ht="15" customHeight="1">
      <c r="A162" s="8" t="s">
        <v>2162</v>
      </c>
      <c r="B162" s="28" t="s">
        <v>2163</v>
      </c>
      <c r="C162" s="31" t="s">
        <v>2116</v>
      </c>
      <c r="D162" s="31"/>
      <c r="E162" s="28"/>
      <c r="F162" s="28"/>
      <c r="G162" s="28"/>
      <c r="H162" s="28"/>
      <c r="I162" s="28"/>
      <c r="J162" s="28"/>
      <c r="K162" s="28"/>
      <c r="L162" s="28"/>
      <c r="M162" s="28"/>
      <c r="N162" s="28"/>
    </row>
    <row r="163" spans="1:14" ht="15" customHeight="1">
      <c r="A163" s="8" t="s">
        <v>2164</v>
      </c>
      <c r="B163" s="28" t="s">
        <v>2165</v>
      </c>
      <c r="C163" s="31" t="s">
        <v>2116</v>
      </c>
      <c r="D163" s="31"/>
      <c r="E163" s="28"/>
      <c r="F163" s="28"/>
      <c r="G163" s="28"/>
      <c r="H163" s="28"/>
      <c r="I163" s="28"/>
      <c r="J163" s="28"/>
      <c r="K163" s="28"/>
      <c r="L163" s="28"/>
      <c r="M163" s="28"/>
      <c r="N163" s="28"/>
    </row>
    <row r="164" spans="1:14" ht="15" customHeight="1">
      <c r="A164" s="8" t="s">
        <v>2166</v>
      </c>
      <c r="B164" s="28" t="s">
        <v>2167</v>
      </c>
      <c r="C164" s="28" t="s">
        <v>2168</v>
      </c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</row>
    <row r="165" spans="1:14" ht="15" customHeight="1">
      <c r="A165" s="8" t="s">
        <v>2169</v>
      </c>
      <c r="B165" s="28" t="s">
        <v>2170</v>
      </c>
      <c r="C165" s="28" t="s">
        <v>2168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 spans="1:14" ht="15" customHeight="1">
      <c r="A166" s="8" t="s">
        <v>2171</v>
      </c>
      <c r="B166" s="28" t="s">
        <v>2172</v>
      </c>
      <c r="C166" s="28" t="s">
        <v>2168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</row>
    <row r="167" spans="1:14" ht="15" customHeight="1">
      <c r="A167" s="8" t="s">
        <v>2173</v>
      </c>
      <c r="B167" s="28" t="s">
        <v>2174</v>
      </c>
      <c r="C167" s="28" t="s">
        <v>2168</v>
      </c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</row>
    <row r="168" spans="1:14" ht="15" customHeight="1">
      <c r="A168" s="8" t="s">
        <v>2175</v>
      </c>
      <c r="B168" s="28" t="s">
        <v>2176</v>
      </c>
      <c r="C168" s="28" t="s">
        <v>2168</v>
      </c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</row>
    <row r="169" spans="1:14" ht="15" customHeight="1">
      <c r="A169" s="8" t="s">
        <v>2177</v>
      </c>
      <c r="B169" s="28" t="s">
        <v>2178</v>
      </c>
      <c r="C169" s="28" t="s">
        <v>2168</v>
      </c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</row>
    <row r="170" spans="1:14" ht="15" customHeight="1">
      <c r="A170" s="8" t="s">
        <v>2179</v>
      </c>
      <c r="B170" s="28" t="s">
        <v>2180</v>
      </c>
      <c r="C170" s="28" t="s">
        <v>2168</v>
      </c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</row>
    <row r="171" spans="1:14" ht="15" customHeight="1">
      <c r="A171" s="8" t="s">
        <v>2181</v>
      </c>
      <c r="B171" s="28" t="s">
        <v>2182</v>
      </c>
      <c r="C171" s="28" t="s">
        <v>2168</v>
      </c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</row>
    <row r="172" spans="1:14" ht="15" customHeight="1">
      <c r="A172" s="8" t="s">
        <v>2183</v>
      </c>
      <c r="B172" s="33" t="s">
        <v>2184</v>
      </c>
      <c r="C172" s="28" t="s">
        <v>2168</v>
      </c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</row>
    <row r="173" spans="1:14" ht="15" customHeight="1">
      <c r="A173" s="8" t="s">
        <v>2185</v>
      </c>
      <c r="B173" s="33" t="s">
        <v>2186</v>
      </c>
      <c r="C173" s="28" t="s">
        <v>2168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</row>
    <row r="174" spans="1:14" ht="15" customHeight="1">
      <c r="A174" s="8" t="s">
        <v>2187</v>
      </c>
      <c r="B174" s="33" t="s">
        <v>2188</v>
      </c>
      <c r="C174" s="28" t="s">
        <v>2168</v>
      </c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</row>
    <row r="175" spans="1:14" ht="15" customHeight="1">
      <c r="A175" s="8" t="s">
        <v>2189</v>
      </c>
      <c r="B175" t="s">
        <v>2190</v>
      </c>
    </row>
    <row r="176" spans="1:14" ht="15" customHeight="1">
      <c r="A176" s="8" t="s">
        <v>2191</v>
      </c>
      <c r="B176" t="s">
        <v>2192</v>
      </c>
    </row>
    <row r="177" spans="1:2" ht="15" customHeight="1">
      <c r="A177" s="8" t="s">
        <v>2193</v>
      </c>
      <c r="B177" t="s">
        <v>2194</v>
      </c>
    </row>
    <row r="178" spans="1:2" ht="15" customHeight="1">
      <c r="A178" s="8" t="s">
        <v>2195</v>
      </c>
      <c r="B178" t="s">
        <v>1776</v>
      </c>
    </row>
    <row r="179" spans="1:2" ht="15" customHeight="1">
      <c r="A179" s="8" t="s">
        <v>2196</v>
      </c>
      <c r="B179" t="s">
        <v>2197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C193-C939-4990-B28F-3594D53BD56F}">
  <dimension ref="A1:F2"/>
  <sheetViews>
    <sheetView workbookViewId="0">
      <selection activeCell="G1" sqref="G1"/>
    </sheetView>
  </sheetViews>
  <sheetFormatPr defaultRowHeight="14.45"/>
  <cols>
    <col min="1" max="2" width="13.85546875" customWidth="1"/>
    <col min="3" max="3" width="18.42578125" customWidth="1"/>
    <col min="4" max="4" width="19.140625" customWidth="1"/>
    <col min="5" max="6" width="18.42578125" customWidth="1"/>
  </cols>
  <sheetData>
    <row r="1" spans="1:6" ht="15">
      <c r="A1" s="3" t="s">
        <v>2198</v>
      </c>
      <c r="B1" s="3" t="s">
        <v>2199</v>
      </c>
      <c r="C1" s="3" t="s">
        <v>2200</v>
      </c>
      <c r="D1" s="3" t="s">
        <v>2201</v>
      </c>
      <c r="E1" s="3" t="s">
        <v>2202</v>
      </c>
      <c r="F1" s="3" t="s">
        <v>2203</v>
      </c>
    </row>
    <row r="2" spans="1:6" ht="15">
      <c r="A2" s="3" t="s">
        <v>2204</v>
      </c>
      <c r="B2" s="3" t="s">
        <v>2205</v>
      </c>
      <c r="C2" s="3" t="s">
        <v>2206</v>
      </c>
      <c r="D2" s="3" t="s">
        <v>2207</v>
      </c>
      <c r="E2" s="3" t="s">
        <v>2208</v>
      </c>
      <c r="F2" s="3" t="s">
        <v>2209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FCAD-B651-47CB-B125-C905A78651B9}">
  <dimension ref="A1:W24"/>
  <sheetViews>
    <sheetView workbookViewId="0">
      <selection activeCell="A15" sqref="A15"/>
    </sheetView>
  </sheetViews>
  <sheetFormatPr defaultRowHeight="15" customHeight="1"/>
  <cols>
    <col min="1" max="2" width="14.7109375" customWidth="1"/>
    <col min="3" max="3" width="13" customWidth="1"/>
    <col min="4" max="4" width="15.140625" customWidth="1"/>
    <col min="5" max="5" width="15.28515625" customWidth="1"/>
    <col min="6" max="6" width="16.7109375" customWidth="1"/>
    <col min="7" max="7" width="17.140625" customWidth="1"/>
    <col min="8" max="8" width="15" customWidth="1"/>
    <col min="9" max="10" width="16.140625" customWidth="1"/>
    <col min="11" max="11" width="17.85546875" bestFit="1" customWidth="1"/>
    <col min="12" max="12" width="16.7109375" bestFit="1" customWidth="1"/>
    <col min="13" max="13" width="16.28515625" customWidth="1"/>
    <col min="14" max="14" width="17.140625" customWidth="1"/>
    <col min="15" max="15" width="17.7109375" customWidth="1"/>
    <col min="16" max="16" width="11.7109375" customWidth="1"/>
    <col min="17" max="17" width="13.42578125" customWidth="1"/>
    <col min="18" max="19" width="12.7109375" customWidth="1"/>
    <col min="20" max="20" width="19.5703125" customWidth="1"/>
  </cols>
  <sheetData>
    <row r="1" spans="1:23" s="5" customFormat="1" ht="29.25">
      <c r="A1" s="2" t="s">
        <v>2210</v>
      </c>
      <c r="B1" s="2" t="s">
        <v>1</v>
      </c>
      <c r="C1" s="2" t="s">
        <v>2</v>
      </c>
      <c r="D1" s="2" t="s">
        <v>0</v>
      </c>
      <c r="E1" s="19" t="s">
        <v>6</v>
      </c>
      <c r="F1" s="2" t="s">
        <v>2211</v>
      </c>
      <c r="G1" s="2" t="s">
        <v>2212</v>
      </c>
      <c r="H1" s="2" t="s">
        <v>2213</v>
      </c>
      <c r="I1" s="2" t="s">
        <v>2214</v>
      </c>
      <c r="J1" s="2" t="s">
        <v>2215</v>
      </c>
      <c r="K1" s="2" t="s">
        <v>2216</v>
      </c>
      <c r="L1" s="2" t="s">
        <v>2217</v>
      </c>
      <c r="M1" s="2" t="s">
        <v>2218</v>
      </c>
      <c r="N1" s="2" t="s">
        <v>2219</v>
      </c>
      <c r="O1" s="2" t="s">
        <v>2220</v>
      </c>
      <c r="P1" s="2" t="s">
        <v>2221</v>
      </c>
      <c r="Q1" s="2" t="s">
        <v>2222</v>
      </c>
      <c r="R1" s="2" t="s">
        <v>1822</v>
      </c>
      <c r="T1" s="2"/>
    </row>
    <row r="2" spans="1:23" s="5" customFormat="1" ht="29.25">
      <c r="A2" s="1" t="s">
        <v>2223</v>
      </c>
      <c r="B2" s="1" t="s">
        <v>21</v>
      </c>
      <c r="C2" s="1" t="s">
        <v>2224</v>
      </c>
      <c r="D2" s="1" t="s">
        <v>20</v>
      </c>
      <c r="E2" s="6" t="s">
        <v>2225</v>
      </c>
      <c r="F2" s="12">
        <v>450</v>
      </c>
      <c r="G2" s="36">
        <f>10%*F2</f>
        <v>45</v>
      </c>
      <c r="H2" s="12">
        <f>F2+G2</f>
        <v>495</v>
      </c>
      <c r="I2" s="12">
        <v>30</v>
      </c>
      <c r="J2" s="12">
        <f>H2-I2</f>
        <v>465</v>
      </c>
      <c r="K2" s="12" t="s">
        <v>2226</v>
      </c>
      <c r="L2" s="3" t="s">
        <v>2204</v>
      </c>
      <c r="M2" s="1" t="s">
        <v>2227</v>
      </c>
      <c r="N2" s="1" t="s">
        <v>2228</v>
      </c>
      <c r="O2" s="13">
        <v>45936</v>
      </c>
      <c r="P2" s="13">
        <v>45997</v>
      </c>
      <c r="Q2" s="13" t="s">
        <v>2229</v>
      </c>
      <c r="R2" s="13" t="s">
        <v>2230</v>
      </c>
      <c r="T2" s="24"/>
    </row>
    <row r="3" spans="1:23" ht="15" customHeight="1">
      <c r="A3" s="1" t="s">
        <v>2231</v>
      </c>
      <c r="M3" s="1" t="s">
        <v>2232</v>
      </c>
      <c r="N3" s="1" t="s">
        <v>2233</v>
      </c>
      <c r="T3" s="24"/>
    </row>
    <row r="4" spans="1:23" ht="15" customHeight="1">
      <c r="A4" s="1" t="s">
        <v>2234</v>
      </c>
      <c r="M4" s="1" t="s">
        <v>2235</v>
      </c>
      <c r="N4" s="1" t="s">
        <v>2236</v>
      </c>
      <c r="T4" s="24"/>
    </row>
    <row r="5" spans="1:23" ht="15" customHeight="1">
      <c r="A5" s="1" t="s">
        <v>2237</v>
      </c>
      <c r="N5" s="1" t="s">
        <v>2238</v>
      </c>
      <c r="T5" s="23"/>
    </row>
    <row r="6" spans="1:23" ht="15" customHeight="1">
      <c r="A6" s="1" t="s">
        <v>2239</v>
      </c>
      <c r="N6" s="1"/>
      <c r="T6" s="23"/>
    </row>
    <row r="7" spans="1:23" ht="15" customHeight="1">
      <c r="N7" s="1"/>
      <c r="T7" s="23"/>
    </row>
    <row r="8" spans="1:23" ht="15" customHeight="1">
      <c r="T8" s="23"/>
    </row>
    <row r="9" spans="1:23" ht="15" customHeight="1">
      <c r="T9" s="23"/>
    </row>
    <row r="10" spans="1:23" ht="15" customHeight="1">
      <c r="T10" s="23"/>
    </row>
    <row r="11" spans="1:23" ht="15" customHeight="1">
      <c r="T11" s="23"/>
    </row>
    <row r="12" spans="1:23" ht="15" customHeight="1">
      <c r="T12" s="23"/>
    </row>
    <row r="13" spans="1:23" ht="15" customHeight="1">
      <c r="T13" s="23"/>
    </row>
    <row r="14" spans="1:23" ht="15" customHeight="1">
      <c r="A14" s="2" t="s">
        <v>2210</v>
      </c>
      <c r="B14" s="26" t="s">
        <v>1817</v>
      </c>
      <c r="C14" s="2" t="s">
        <v>1</v>
      </c>
      <c r="D14" s="26" t="s">
        <v>1818</v>
      </c>
      <c r="E14" s="2" t="s">
        <v>2</v>
      </c>
      <c r="F14" s="2" t="s">
        <v>0</v>
      </c>
      <c r="G14" s="19" t="s">
        <v>6</v>
      </c>
      <c r="H14" s="2" t="s">
        <v>2211</v>
      </c>
      <c r="I14" s="2" t="s">
        <v>2212</v>
      </c>
      <c r="J14" s="2"/>
      <c r="K14" s="2" t="s">
        <v>2213</v>
      </c>
      <c r="L14" s="2" t="s">
        <v>2214</v>
      </c>
      <c r="M14" s="2" t="s">
        <v>2217</v>
      </c>
      <c r="N14" s="2" t="s">
        <v>2218</v>
      </c>
      <c r="O14" s="2" t="s">
        <v>2219</v>
      </c>
      <c r="P14" s="2" t="s">
        <v>2220</v>
      </c>
      <c r="Q14" s="2" t="s">
        <v>2221</v>
      </c>
      <c r="R14" s="2" t="s">
        <v>2222</v>
      </c>
      <c r="S14" s="2" t="s">
        <v>2240</v>
      </c>
      <c r="T14" s="2" t="s">
        <v>2241</v>
      </c>
      <c r="U14" s="5"/>
      <c r="V14" s="5"/>
      <c r="W14" s="5"/>
    </row>
    <row r="15" spans="1:23" ht="15" customHeight="1">
      <c r="A15" s="1" t="s">
        <v>2242</v>
      </c>
      <c r="B15" s="27"/>
      <c r="C15" s="1" t="s">
        <v>21</v>
      </c>
      <c r="D15" s="1"/>
      <c r="E15" s="1" t="s">
        <v>2224</v>
      </c>
      <c r="F15" s="1" t="s">
        <v>20</v>
      </c>
      <c r="G15" s="6" t="s">
        <v>26</v>
      </c>
      <c r="H15" s="12">
        <v>450</v>
      </c>
      <c r="I15" s="12"/>
      <c r="J15" s="12"/>
      <c r="K15" s="12"/>
      <c r="L15" s="12"/>
      <c r="M15" s="3" t="s">
        <v>2205</v>
      </c>
      <c r="N15" s="1" t="s">
        <v>2227</v>
      </c>
      <c r="O15" s="1" t="s">
        <v>2228</v>
      </c>
      <c r="P15" s="13">
        <v>45823</v>
      </c>
      <c r="Q15" s="5"/>
      <c r="R15" s="5"/>
      <c r="S15" s="5"/>
      <c r="T15" s="24" t="s">
        <v>2243</v>
      </c>
      <c r="U15" s="5"/>
      <c r="V15" s="5"/>
      <c r="W15" s="5"/>
    </row>
    <row r="16" spans="1:23" ht="15" customHeight="1">
      <c r="A16" s="1" t="s">
        <v>2244</v>
      </c>
      <c r="B16" t="s">
        <v>2017</v>
      </c>
      <c r="D16" t="s">
        <v>2245</v>
      </c>
      <c r="N16" t="s">
        <v>2232</v>
      </c>
      <c r="O16" t="s">
        <v>2233</v>
      </c>
      <c r="S16" t="s">
        <v>2246</v>
      </c>
      <c r="T16" s="24" t="s">
        <v>2247</v>
      </c>
    </row>
    <row r="17" spans="14:20" ht="15" customHeight="1">
      <c r="N17" t="s">
        <v>2235</v>
      </c>
      <c r="O17" t="s">
        <v>2236</v>
      </c>
      <c r="T17" s="24"/>
    </row>
    <row r="18" spans="14:20" ht="15" customHeight="1">
      <c r="O18" t="s">
        <v>2238</v>
      </c>
      <c r="T18" s="23"/>
    </row>
    <row r="19" spans="14:20" ht="15" customHeight="1">
      <c r="T19" s="23"/>
    </row>
    <row r="20" spans="14:20" ht="15" customHeight="1">
      <c r="T20" s="23"/>
    </row>
    <row r="21" spans="14:20" ht="15" customHeight="1">
      <c r="T21" s="23"/>
    </row>
    <row r="22" spans="14:20" ht="15" customHeight="1">
      <c r="T22" s="23"/>
    </row>
    <row r="23" spans="14:20" ht="15" customHeight="1">
      <c r="T23" s="23"/>
    </row>
    <row r="24" spans="14:20" ht="15" customHeight="1">
      <c r="T24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9B9A-7F22-495C-BAC2-7534F4B4640B}">
  <dimension ref="A1:G6"/>
  <sheetViews>
    <sheetView workbookViewId="0">
      <selection activeCell="C2" sqref="C2"/>
    </sheetView>
  </sheetViews>
  <sheetFormatPr defaultRowHeight="15"/>
  <cols>
    <col min="1" max="1" width="22.140625" bestFit="1" customWidth="1"/>
    <col min="2" max="2" width="18.28515625" bestFit="1" customWidth="1"/>
    <col min="3" max="3" width="35.140625" bestFit="1" customWidth="1"/>
    <col min="4" max="4" width="17.85546875" bestFit="1" customWidth="1"/>
    <col min="5" max="5" width="30" bestFit="1" customWidth="1"/>
    <col min="6" max="6" width="27.7109375" bestFit="1" customWidth="1"/>
    <col min="7" max="7" width="32.85546875" bestFit="1" customWidth="1"/>
  </cols>
  <sheetData>
    <row r="1" spans="1:7">
      <c r="A1" s="23" t="s">
        <v>2248</v>
      </c>
      <c r="B1" s="23" t="s">
        <v>2210</v>
      </c>
      <c r="C1" s="23" t="s">
        <v>1817</v>
      </c>
      <c r="D1" s="23" t="s">
        <v>2213</v>
      </c>
      <c r="E1" s="23" t="s">
        <v>2249</v>
      </c>
      <c r="F1" s="23" t="s">
        <v>2219</v>
      </c>
      <c r="G1" s="23" t="s">
        <v>1822</v>
      </c>
    </row>
    <row r="2" spans="1:7">
      <c r="A2" t="s">
        <v>2250</v>
      </c>
      <c r="B2" t="s">
        <v>2251</v>
      </c>
      <c r="C2" t="s">
        <v>2017</v>
      </c>
      <c r="D2" s="37">
        <v>450</v>
      </c>
      <c r="E2" s="13">
        <v>45936</v>
      </c>
      <c r="F2" s="1" t="s">
        <v>2228</v>
      </c>
      <c r="G2" t="s">
        <v>2252</v>
      </c>
    </row>
    <row r="3" spans="1:7">
      <c r="F3" s="1" t="s">
        <v>2233</v>
      </c>
    </row>
    <row r="4" spans="1:7">
      <c r="F4" s="1" t="s">
        <v>2236</v>
      </c>
    </row>
    <row r="5" spans="1:7">
      <c r="F5" s="1" t="s">
        <v>2238</v>
      </c>
    </row>
    <row r="6" spans="1:7">
      <c r="F6" s="1" t="s">
        <v>2253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D93B-F3F8-4CB9-BB78-6281F04949CA}">
  <dimension ref="A1:H4"/>
  <sheetViews>
    <sheetView workbookViewId="0"/>
  </sheetViews>
  <sheetFormatPr defaultRowHeight="15" customHeight="1"/>
  <cols>
    <col min="1" max="5" width="14.28515625" customWidth="1"/>
    <col min="6" max="6" width="19.42578125" customWidth="1"/>
    <col min="7" max="7" width="17.7109375" customWidth="1"/>
    <col min="8" max="8" width="14.28515625" customWidth="1"/>
  </cols>
  <sheetData>
    <row r="1" spans="1:8" s="23" customFormat="1">
      <c r="A1" s="25" t="s">
        <v>1817</v>
      </c>
      <c r="B1" s="25" t="s">
        <v>2199</v>
      </c>
      <c r="C1" s="25" t="s">
        <v>2254</v>
      </c>
      <c r="D1" s="25" t="s">
        <v>2255</v>
      </c>
      <c r="E1" s="25" t="s">
        <v>2256</v>
      </c>
      <c r="F1" s="25" t="s">
        <v>2257</v>
      </c>
      <c r="G1" s="25" t="s">
        <v>2258</v>
      </c>
      <c r="H1" s="25" t="s">
        <v>2259</v>
      </c>
    </row>
    <row r="2" spans="1:8" ht="29.25">
      <c r="A2" s="3" t="s">
        <v>2017</v>
      </c>
      <c r="B2" s="3" t="s">
        <v>2260</v>
      </c>
      <c r="C2" s="3" t="s">
        <v>2261</v>
      </c>
      <c r="D2" s="3" t="s">
        <v>2262</v>
      </c>
      <c r="E2" s="3">
        <v>1234567890</v>
      </c>
      <c r="F2" s="3" t="s">
        <v>2255</v>
      </c>
      <c r="G2" s="3" t="s">
        <v>2263</v>
      </c>
      <c r="H2" s="13">
        <v>45936</v>
      </c>
    </row>
    <row r="3" spans="1:8" ht="15" customHeight="1">
      <c r="F3" t="s">
        <v>2264</v>
      </c>
    </row>
    <row r="4" spans="1:8" ht="15" customHeight="1">
      <c r="F4" t="s">
        <v>2265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6E48-F9FA-4EE2-A8D5-429C378AC69B}">
  <dimension ref="A1:P5"/>
  <sheetViews>
    <sheetView topLeftCell="C1" workbookViewId="0">
      <selection activeCell="O3" sqref="O3"/>
    </sheetView>
  </sheetViews>
  <sheetFormatPr defaultRowHeight="15"/>
  <cols>
    <col min="1" max="1" width="16.42578125" bestFit="1" customWidth="1"/>
    <col min="2" max="2" width="15.85546875" customWidth="1"/>
    <col min="3" max="3" width="10.5703125" bestFit="1" customWidth="1"/>
    <col min="5" max="5" width="12.5703125" customWidth="1"/>
    <col min="6" max="6" width="15.5703125" customWidth="1"/>
    <col min="8" max="8" width="12" customWidth="1"/>
    <col min="9" max="9" width="20" customWidth="1"/>
    <col min="10" max="10" width="13.28515625" customWidth="1"/>
    <col min="11" max="11" width="18.85546875" customWidth="1"/>
    <col min="12" max="12" width="15.42578125" customWidth="1"/>
    <col min="13" max="13" width="15.28515625" customWidth="1"/>
    <col min="15" max="15" width="13.5703125" customWidth="1"/>
  </cols>
  <sheetData>
    <row r="1" spans="1:16" s="23" customFormat="1">
      <c r="A1" s="23" t="s">
        <v>2266</v>
      </c>
      <c r="B1" s="23" t="s">
        <v>2267</v>
      </c>
      <c r="C1" s="23" t="s">
        <v>2268</v>
      </c>
      <c r="D1" s="23" t="s">
        <v>2269</v>
      </c>
      <c r="E1" s="23" t="s">
        <v>2270</v>
      </c>
      <c r="F1" s="23" t="s">
        <v>2271</v>
      </c>
      <c r="G1" s="23" t="s">
        <v>2272</v>
      </c>
      <c r="H1" s="23" t="s">
        <v>2273</v>
      </c>
      <c r="I1" s="2" t="s">
        <v>2216</v>
      </c>
      <c r="J1" s="23" t="s">
        <v>2211</v>
      </c>
      <c r="K1" s="23" t="s">
        <v>2212</v>
      </c>
      <c r="L1" s="23" t="s">
        <v>2213</v>
      </c>
      <c r="M1" s="23" t="s">
        <v>2218</v>
      </c>
      <c r="N1" s="23" t="s">
        <v>2219</v>
      </c>
      <c r="O1" s="23" t="s">
        <v>2274</v>
      </c>
      <c r="P1" s="23" t="s">
        <v>1822</v>
      </c>
    </row>
    <row r="2" spans="1:16" ht="29.25">
      <c r="A2" t="s">
        <v>2275</v>
      </c>
      <c r="B2" s="13">
        <v>45936</v>
      </c>
      <c r="C2" t="s">
        <v>2276</v>
      </c>
      <c r="D2" t="s">
        <v>21</v>
      </c>
      <c r="E2" s="1" t="s">
        <v>2224</v>
      </c>
      <c r="F2" t="s">
        <v>2277</v>
      </c>
      <c r="G2" t="s">
        <v>2247</v>
      </c>
      <c r="H2" s="1" t="s">
        <v>2223</v>
      </c>
      <c r="I2" s="12" t="s">
        <v>2226</v>
      </c>
      <c r="J2" s="12">
        <v>450</v>
      </c>
      <c r="K2" s="36">
        <f>10%*J2</f>
        <v>45</v>
      </c>
      <c r="L2" s="12">
        <f>J2+K2</f>
        <v>495</v>
      </c>
      <c r="M2" s="1" t="s">
        <v>2227</v>
      </c>
      <c r="N2" s="1" t="s">
        <v>2228</v>
      </c>
      <c r="O2" t="s">
        <v>1528</v>
      </c>
      <c r="P2" t="s">
        <v>2252</v>
      </c>
    </row>
    <row r="3" spans="1:16">
      <c r="F3" t="s">
        <v>2278</v>
      </c>
      <c r="G3" t="s">
        <v>2243</v>
      </c>
      <c r="H3" s="1" t="s">
        <v>2279</v>
      </c>
      <c r="M3" s="1"/>
      <c r="N3" s="1" t="s">
        <v>2233</v>
      </c>
    </row>
    <row r="4" spans="1:16">
      <c r="F4" t="s">
        <v>2280</v>
      </c>
      <c r="M4" s="1"/>
      <c r="N4" s="1" t="s">
        <v>2236</v>
      </c>
    </row>
    <row r="5" spans="1:16" ht="29.25">
      <c r="N5" s="1" t="s">
        <v>2238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34B1-1421-4CC9-AEAA-D613E125130C}">
  <dimension ref="A1:H2"/>
  <sheetViews>
    <sheetView workbookViewId="0">
      <selection activeCell="H24" sqref="H24"/>
    </sheetView>
  </sheetViews>
  <sheetFormatPr defaultRowHeight="15" customHeight="1"/>
  <cols>
    <col min="1" max="5" width="17.7109375" customWidth="1"/>
    <col min="6" max="6" width="24.140625" customWidth="1"/>
    <col min="7" max="8" width="17.7109375" customWidth="1"/>
  </cols>
  <sheetData>
    <row r="1" spans="1:8" s="23" customFormat="1">
      <c r="A1" s="2" t="s">
        <v>2281</v>
      </c>
      <c r="B1" s="2" t="s">
        <v>1</v>
      </c>
      <c r="C1" s="2" t="s">
        <v>0</v>
      </c>
      <c r="D1" s="2" t="s">
        <v>1523</v>
      </c>
      <c r="E1" s="2" t="s">
        <v>2282</v>
      </c>
      <c r="F1" s="2" t="s">
        <v>2283</v>
      </c>
      <c r="G1" s="2" t="s">
        <v>2284</v>
      </c>
      <c r="H1" s="2" t="s">
        <v>2285</v>
      </c>
    </row>
    <row r="2" spans="1:8" ht="29.25">
      <c r="A2" s="1" t="s">
        <v>2286</v>
      </c>
      <c r="B2" s="1" t="s">
        <v>964</v>
      </c>
      <c r="C2" s="1" t="s">
        <v>20</v>
      </c>
      <c r="D2" s="13">
        <v>45936</v>
      </c>
      <c r="E2" s="38">
        <v>0.58333333333333337</v>
      </c>
      <c r="F2" s="1" t="s">
        <v>2287</v>
      </c>
      <c r="G2" s="1" t="s">
        <v>2288</v>
      </c>
      <c r="H2" s="1" t="s">
        <v>2289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8AAE-39AF-403A-A176-1FE947189E83}">
  <dimension ref="A1:D2"/>
  <sheetViews>
    <sheetView workbookViewId="0">
      <selection activeCell="C2" sqref="C2"/>
    </sheetView>
  </sheetViews>
  <sheetFormatPr defaultRowHeight="14.45"/>
  <cols>
    <col min="1" max="1" width="26.85546875" customWidth="1"/>
    <col min="2" max="3" width="18.7109375" customWidth="1"/>
    <col min="4" max="4" width="23.85546875" customWidth="1"/>
  </cols>
  <sheetData>
    <row r="1" spans="1:4" s="23" customFormat="1" ht="15">
      <c r="A1" s="2" t="s">
        <v>2290</v>
      </c>
      <c r="B1" s="2" t="s">
        <v>2291</v>
      </c>
      <c r="C1" s="2" t="s">
        <v>2292</v>
      </c>
      <c r="D1" s="2" t="s">
        <v>2293</v>
      </c>
    </row>
    <row r="2" spans="1:4">
      <c r="A2" s="1" t="s">
        <v>2294</v>
      </c>
      <c r="B2" s="14">
        <v>12450</v>
      </c>
      <c r="C2" s="15">
        <v>0.68</v>
      </c>
      <c r="D2" s="1" t="s">
        <v>2295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3819-8D05-462A-B22B-E29A4861C69A}">
  <dimension ref="A2:F4"/>
  <sheetViews>
    <sheetView workbookViewId="0">
      <selection activeCell="D11" sqref="D11"/>
    </sheetView>
  </sheetViews>
  <sheetFormatPr defaultRowHeight="14.45"/>
  <cols>
    <col min="1" max="4" width="17.42578125" customWidth="1"/>
    <col min="5" max="6" width="21.7109375" customWidth="1"/>
    <col min="7" max="7" width="8.85546875" customWidth="1"/>
  </cols>
  <sheetData>
    <row r="2" spans="1:6">
      <c r="A2" s="2" t="s">
        <v>2296</v>
      </c>
      <c r="B2" s="2" t="s">
        <v>2199</v>
      </c>
      <c r="C2" s="2" t="s">
        <v>2297</v>
      </c>
      <c r="D2" s="2" t="s">
        <v>2298</v>
      </c>
      <c r="E2" s="2" t="s">
        <v>2299</v>
      </c>
      <c r="F2" s="2" t="s">
        <v>2300</v>
      </c>
    </row>
    <row r="3" spans="1:6" ht="29.25">
      <c r="A3" s="4" t="s">
        <v>2301</v>
      </c>
      <c r="B3" s="4" t="s">
        <v>2302</v>
      </c>
      <c r="C3" s="4" t="s">
        <v>2303</v>
      </c>
      <c r="D3" s="4" t="s">
        <v>2304</v>
      </c>
      <c r="E3" s="4" t="s">
        <v>2305</v>
      </c>
      <c r="F3" s="4" t="s">
        <v>2306</v>
      </c>
    </row>
    <row r="4" spans="1:6" ht="29.25">
      <c r="A4" s="4" t="s">
        <v>2307</v>
      </c>
      <c r="B4" s="4" t="s">
        <v>2308</v>
      </c>
      <c r="C4" s="4" t="s">
        <v>2309</v>
      </c>
      <c r="D4" s="4" t="s">
        <v>2310</v>
      </c>
      <c r="E4" s="4" t="s">
        <v>2311</v>
      </c>
      <c r="F4" s="4" t="s">
        <v>2312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CA5C-272D-4047-8E51-BEAB11C5E18C}">
  <dimension ref="A1:C4"/>
  <sheetViews>
    <sheetView tabSelected="1" workbookViewId="0">
      <selection activeCell="B5" sqref="B5"/>
    </sheetView>
  </sheetViews>
  <sheetFormatPr defaultRowHeight="15"/>
  <cols>
    <col min="2" max="2" width="10.28515625" customWidth="1"/>
    <col min="3" max="3" width="10.42578125" bestFit="1" customWidth="1"/>
  </cols>
  <sheetData>
    <row r="1" spans="1:3">
      <c r="A1" t="s">
        <v>2199</v>
      </c>
      <c r="B1" t="s">
        <v>1523</v>
      </c>
      <c r="C1" t="s">
        <v>2313</v>
      </c>
    </row>
    <row r="2" spans="1:3">
      <c r="A2" t="s">
        <v>2314</v>
      </c>
      <c r="B2" t="s">
        <v>2315</v>
      </c>
      <c r="C2">
        <v>5</v>
      </c>
    </row>
    <row r="3" spans="1:3">
      <c r="A3" t="s">
        <v>2314</v>
      </c>
      <c r="B3" t="s">
        <v>2316</v>
      </c>
      <c r="C3">
        <v>5</v>
      </c>
    </row>
    <row r="4" spans="1:3">
      <c r="A4" t="s">
        <v>2314</v>
      </c>
      <c r="B4" s="43">
        <v>46181</v>
      </c>
      <c r="C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Supreet Chadha</dc:creator>
  <cp:keywords/>
  <dc:description/>
  <cp:lastModifiedBy>Supreet Chadha</cp:lastModifiedBy>
  <cp:revision/>
  <dcterms:created xsi:type="dcterms:W3CDTF">2025-06-20T06:22:57Z</dcterms:created>
  <dcterms:modified xsi:type="dcterms:W3CDTF">2026-08-08T08:30:45Z</dcterms:modified>
  <cp:category/>
  <cp:contentStatus/>
</cp:coreProperties>
</file>